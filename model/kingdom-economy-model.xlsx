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tes" sheetId="2" state="visible" r:id="rId2"/>
    <sheet name="SteadyState" sheetId="3" state="visible" r:id="rId3"/>
    <sheet name="SimRun" sheetId="4" state="visible" r:id="rId4"/>
    <sheet name="SinkSandbo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color rgb="00000000"/>
    </font>
    <font>
      <name val="Arial"/>
      <color rgb="000000FF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EEE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Gold compounds without limit: 10 -&gt; 29,102 in 12 years (zero sinks)</a:t>
            </a:r>
          </a:p>
        </rich>
      </tx>
    </title>
    <plotArea>
      <lineChart>
        <grouping val="standard"/>
        <ser>
          <idx val="0"/>
          <order val="0"/>
          <tx>
            <strRef>
              <f>'SimRun'!N1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'SimRun'!$N$2:$N$97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15 raids, 0 buildings lost: threat never scales past defense</a:t>
            </a:r>
          </a:p>
        </rich>
      </tx>
    </title>
    <plotArea>
      <lineChart>
        <grouping val="standard"/>
        <ser>
          <idx val="0"/>
          <order val="0"/>
          <tx>
            <strRef>
              <f>'SimRun'!T1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'SimRun'!$T$2:$T$97</f>
            </numRef>
          </val>
        </ser>
        <ser>
          <idx val="1"/>
          <order val="1"/>
          <tx>
            <strRef>
              <f>'SimRun'!U1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'SimRun'!$U$2:$U$97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Population grows linearly (housing-gated), gold grows super-linearly</a:t>
            </a:r>
          </a:p>
        </rich>
      </tx>
    </title>
    <plotArea>
      <lineChart>
        <grouping val="standard"/>
        <ser>
          <idx val="0"/>
          <order val="0"/>
          <tx>
            <strRef>
              <f>'SimRun'!C1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'SimRun'!$C$2:$C$97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23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23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Kingdom-sim economy model</t>
        </is>
      </c>
      <c r="B1" s="2" t="inlineStr"/>
    </row>
    <row r="2">
      <c r="A2" s="2" t="inlineStr"/>
      <c r="B2" s="2" t="inlineStr"/>
    </row>
    <row r="3">
      <c r="A3" s="3" t="inlineStr">
        <is>
          <t>What this is</t>
        </is>
      </c>
      <c r="B3" s="2" t="inlineStr">
        <is>
          <t>A feedback-loop model of the game economy, built from src/config.js rates and a 12-year headless run of the real sim (model/simulate.mjs, seed 42).</t>
        </is>
      </c>
    </row>
    <row r="4">
      <c r="A4" s="2" t="inlineStr"/>
      <c r="B4" s="2" t="inlineStr"/>
    </row>
    <row r="5">
      <c r="A5" s="3" t="inlineStr">
        <is>
          <t>Sheets</t>
        </is>
      </c>
      <c r="B5" s="2" t="inlineStr"/>
    </row>
    <row r="6">
      <c r="A6" s="2" t="inlineStr">
        <is>
          <t xml:space="preserve">  Rates</t>
        </is>
      </c>
      <c r="B6" s="2" t="inlineStr">
        <is>
          <t>Per-building flow rates straight from config. Shows each building's net food-equivalent after feeding its own workers.</t>
        </is>
      </c>
    </row>
    <row r="7">
      <c r="A7" s="2" t="inlineStr">
        <is>
          <t xml:space="preserve">  SteadyState</t>
        </is>
      </c>
      <c r="B7" s="2" t="inlineStr">
        <is>
          <t>Editable kingdom snapshot -&gt; per-tick and per-year net flow for every resource. Change blue cells.</t>
        </is>
      </c>
    </row>
    <row r="8">
      <c r="A8" s="2" t="inlineStr">
        <is>
          <t xml:space="preserve">  SimRun</t>
        </is>
      </c>
      <c r="B8" s="2" t="inlineStr">
        <is>
          <t>The 12-year simulation time series with charts. Raw evidence of the snowball.</t>
        </is>
      </c>
    </row>
    <row r="9">
      <c r="A9" s="2" t="inlineStr">
        <is>
          <t xml:space="preserve">  SinkSandbox</t>
        </is>
      </c>
      <c r="B9" s="2" t="inlineStr">
        <is>
          <t>Candidate balance changes as dials. See which ones actually flatten the gold curve before touching code.</t>
        </is>
      </c>
    </row>
    <row r="10">
      <c r="A10" s="2" t="inlineStr"/>
      <c r="B10" s="2" t="inlineStr"/>
    </row>
    <row r="11">
      <c r="A11" s="3" t="inlineStr">
        <is>
          <t>Color code</t>
        </is>
      </c>
      <c r="B11" s="2" t="inlineStr"/>
    </row>
    <row r="12">
      <c r="A12" s="2" t="inlineStr">
        <is>
          <t xml:space="preserve">  Blue text</t>
        </is>
      </c>
      <c r="B12" s="2" t="inlineStr">
        <is>
          <t>Inputs you can change</t>
        </is>
      </c>
    </row>
    <row r="13">
      <c r="A13" s="2" t="inlineStr">
        <is>
          <t xml:space="preserve">  Black text</t>
        </is>
      </c>
      <c r="B13" s="2" t="inlineStr">
        <is>
          <t>Formulas — leave alone</t>
        </is>
      </c>
    </row>
    <row r="14">
      <c r="A14" s="2" t="inlineStr"/>
      <c r="B14" s="2" t="inlineStr"/>
    </row>
    <row r="15">
      <c r="A15" s="3" t="inlineStr">
        <is>
          <t>Key units</t>
        </is>
      </c>
      <c r="B15" s="2" t="inlineStr">
        <is>
          <t>1 tick = 0.6s at 1x speed. 480 ticks = 1 game year. Bread = 2 food-equivalents.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14" customWidth="1" min="10" max="10"/>
    <col width="12" customWidth="1" min="11" max="11"/>
    <col width="44" customWidth="1" min="12" max="12"/>
  </cols>
  <sheetData>
    <row r="1">
      <c r="A1" s="4" t="inlineStr">
        <is>
          <t>Building</t>
        </is>
      </c>
      <c r="B1" s="4" t="inlineStr">
        <is>
          <t>Workers</t>
        </is>
      </c>
      <c r="C1" s="4" t="inlineStr">
        <is>
          <t>food/t</t>
        </is>
      </c>
      <c r="D1" s="4" t="inlineStr">
        <is>
          <t>wood/t</t>
        </is>
      </c>
      <c r="E1" s="4" t="inlineStr">
        <is>
          <t>stone/t</t>
        </is>
      </c>
      <c r="F1" s="4" t="inlineStr">
        <is>
          <t>ore/t</t>
        </is>
      </c>
      <c r="G1" s="4" t="inlineStr">
        <is>
          <t>iron/t</t>
        </is>
      </c>
      <c r="H1" s="4" t="inlineStr">
        <is>
          <t>bread/t</t>
        </is>
      </c>
      <c r="I1" s="4" t="inlineStr">
        <is>
          <t>Gross food-eq/t</t>
        </is>
      </c>
      <c r="J1" s="4" t="inlineStr">
        <is>
          <t>Worker mouths/t</t>
        </is>
      </c>
      <c r="K1" s="4" t="inlineStr">
        <is>
          <t>Net food-eq/t</t>
        </is>
      </c>
      <c r="L1" s="4" t="inlineStr">
        <is>
          <t>Notes</t>
        </is>
      </c>
    </row>
    <row r="2">
      <c r="A2" s="3" t="inlineStr">
        <is>
          <t>Farm</t>
        </is>
      </c>
      <c r="B2" s="5" t="n">
        <v>2</v>
      </c>
      <c r="C2" s="5" t="n">
        <v>0.5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6">
        <f>C2+2*H2</f>
        <v/>
      </c>
      <c r="J2" s="6">
        <f>B2*SteadyState!$B$5</f>
        <v/>
      </c>
      <c r="K2" s="6">
        <f>I2-J2</f>
        <v/>
      </c>
      <c r="L2" t="inlineStr">
        <is>
          <t>x0.4 in winter (avg x0.85 over a year)</t>
        </is>
      </c>
    </row>
    <row r="3">
      <c r="A3" s="3" t="inlineStr">
        <is>
          <t>Dock</t>
        </is>
      </c>
      <c r="B3" s="5" t="n">
        <v>2</v>
      </c>
      <c r="C3" s="5" t="n">
        <v>0.4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6">
        <f>C3+2*H3</f>
        <v/>
      </c>
      <c r="J3" s="6">
        <f>B3*SteadyState!$B$5</f>
        <v/>
      </c>
      <c r="K3" s="6">
        <f>I3-J3</f>
        <v/>
      </c>
      <c r="L3" t="inlineStr">
        <is>
          <t>immune to winter</t>
        </is>
      </c>
    </row>
    <row r="4">
      <c r="A4" s="3" t="inlineStr">
        <is>
          <t>Lumber</t>
        </is>
      </c>
      <c r="B4" s="5" t="n">
        <v>2</v>
      </c>
      <c r="C4" s="5" t="n">
        <v>0</v>
      </c>
      <c r="D4" s="5" t="n">
        <v>0.35</v>
      </c>
      <c r="E4" s="5" t="n">
        <v>0</v>
      </c>
      <c r="F4" s="5" t="n">
        <v>0</v>
      </c>
      <c r="G4" s="5" t="n">
        <v>0</v>
      </c>
      <c r="H4" s="5" t="n">
        <v>0</v>
      </c>
      <c r="I4" s="6">
        <f>C4+2*H4</f>
        <v/>
      </c>
      <c r="J4" s="6">
        <f>B4*SteadyState!$B$5</f>
        <v/>
      </c>
      <c r="K4" s="6">
        <f>I4-J4</f>
        <v/>
      </c>
      <c r="L4" t="inlineStr"/>
    </row>
    <row r="5">
      <c r="A5" s="3" t="inlineStr">
        <is>
          <t>Quarry</t>
        </is>
      </c>
      <c r="B5" s="5" t="n">
        <v>3</v>
      </c>
      <c r="C5" s="5" t="n">
        <v>0</v>
      </c>
      <c r="D5" s="5" t="n">
        <v>0</v>
      </c>
      <c r="E5" s="5" t="n">
        <v>0.3</v>
      </c>
      <c r="F5" s="5" t="n">
        <v>0</v>
      </c>
      <c r="G5" s="5" t="n">
        <v>0</v>
      </c>
      <c r="H5" s="5" t="n">
        <v>0</v>
      </c>
      <c r="I5" s="6">
        <f>C5+2*H5</f>
        <v/>
      </c>
      <c r="J5" s="6">
        <f>B5*SteadyState!$B$5</f>
        <v/>
      </c>
      <c r="K5" s="6">
        <f>I5-J5</f>
        <v/>
      </c>
      <c r="L5" t="inlineStr"/>
    </row>
    <row r="6">
      <c r="A6" s="3" t="inlineStr">
        <is>
          <t>Mine</t>
        </is>
      </c>
      <c r="B6" s="5" t="n">
        <v>3</v>
      </c>
      <c r="C6" s="5" t="n">
        <v>0</v>
      </c>
      <c r="D6" s="5" t="n">
        <v>0</v>
      </c>
      <c r="E6" s="5" t="n">
        <v>0</v>
      </c>
      <c r="F6" s="5" t="n">
        <v>0.25</v>
      </c>
      <c r="G6" s="5" t="n">
        <v>0</v>
      </c>
      <c r="H6" s="5" t="n">
        <v>0</v>
      </c>
      <c r="I6" s="6">
        <f>C6+2*H6</f>
        <v/>
      </c>
      <c r="J6" s="6">
        <f>B6*SteadyState!$B$5</f>
        <v/>
      </c>
      <c r="K6" s="6">
        <f>I6-J6</f>
        <v/>
      </c>
      <c r="L6" t="inlineStr"/>
    </row>
    <row r="7">
      <c r="A7" s="3" t="inlineStr">
        <is>
          <t>Smelter</t>
        </is>
      </c>
      <c r="B7" s="5" t="n">
        <v>2</v>
      </c>
      <c r="C7" s="5" t="n">
        <v>0</v>
      </c>
      <c r="D7" s="5" t="n">
        <v>-0.15</v>
      </c>
      <c r="E7" s="5" t="n">
        <v>0</v>
      </c>
      <c r="F7" s="5" t="n">
        <v>-0.3</v>
      </c>
      <c r="G7" s="5" t="n">
        <v>0.15</v>
      </c>
      <c r="H7" s="5" t="n">
        <v>0</v>
      </c>
      <c r="I7" s="6">
        <f>C7+2*H7</f>
        <v/>
      </c>
      <c r="J7" s="6">
        <f>B7*SteadyState!$B$5</f>
        <v/>
      </c>
      <c r="K7" s="6">
        <f>I7-J7</f>
        <v/>
      </c>
      <c r="L7" t="inlineStr">
        <is>
          <t>only demand for ore</t>
        </is>
      </c>
    </row>
    <row r="8">
      <c r="A8" s="3" t="inlineStr">
        <is>
          <t>Bakery</t>
        </is>
      </c>
      <c r="B8" s="5" t="n">
        <v>2</v>
      </c>
      <c r="C8" s="5" t="n">
        <v>-0.4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0.25</v>
      </c>
      <c r="I8" s="6">
        <f>C8+2*H8</f>
        <v/>
      </c>
      <c r="J8" s="6">
        <f>B8*SteadyState!$B$5</f>
        <v/>
      </c>
      <c r="K8" s="6">
        <f>I8-J8</f>
        <v/>
      </c>
      <c r="L8" t="inlineStr">
        <is>
          <t>the trap: see Net column</t>
        </is>
      </c>
    </row>
    <row r="9">
      <c r="A9" s="3" t="inlineStr">
        <is>
          <t>Market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6">
        <f>C9+2*H9</f>
        <v/>
      </c>
      <c r="J9" s="6">
        <f>B9*SteadyState!$B$5</f>
        <v/>
      </c>
      <c r="K9" s="6">
        <f>I9-J9</f>
        <v/>
      </c>
      <c r="L9" t="inlineStr">
        <is>
          <t>gold = pop x 0.012 x morale/50 per tick</t>
        </is>
      </c>
    </row>
    <row r="10">
      <c r="A10" s="3" t="inlineStr">
        <is>
          <t>House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6">
        <f>C10+2*H10</f>
        <v/>
      </c>
      <c r="J10" s="6">
        <f>B10*SteadyState!$B$5</f>
        <v/>
      </c>
      <c r="K10" s="6">
        <f>I10-J10</f>
        <v/>
      </c>
      <c r="L10" t="inlineStr">
        <is>
          <t>+5 pop cap</t>
        </is>
      </c>
    </row>
    <row r="11">
      <c r="A11" s="3" t="inlineStr">
        <is>
          <t>Tower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>
        <f>C11+2*H11</f>
        <v/>
      </c>
      <c r="J11" s="6">
        <f>B11*SteadyState!$B$5</f>
        <v/>
      </c>
      <c r="K11" s="6">
        <f>I11-J11</f>
        <v/>
      </c>
      <c r="L11" t="inlineStr">
        <is>
          <t>influence 7, arrows</t>
        </is>
      </c>
    </row>
    <row r="12">
      <c r="A12" s="3" t="inlineStr">
        <is>
          <t>Church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6">
        <f>C12+2*H12</f>
        <v/>
      </c>
      <c r="J12" s="6">
        <f>B12*SteadyState!$B$5</f>
        <v/>
      </c>
      <c r="K12" s="6">
        <f>I12-J12</f>
        <v/>
      </c>
      <c r="L12" t="inlineStr">
        <is>
          <t>influence 8, morale</t>
        </is>
      </c>
    </row>
    <row r="13">
      <c r="A13" s="3" t="inlineStr">
        <is>
          <t>Barracks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6">
        <f>C13+2*H13</f>
        <v/>
      </c>
      <c r="J13" s="6">
        <f>B13*SteadyState!$B$5</f>
        <v/>
      </c>
      <c r="K13" s="6">
        <f>I13-J13</f>
        <v/>
      </c>
      <c r="L13" t="inlineStr">
        <is>
          <t>4 soldiers each</t>
        </is>
      </c>
    </row>
    <row r="15">
      <c r="A15" s="3" t="inlineStr">
        <is>
          <t>Rates source: src/config.js BUILDINGS, 2026-07-09. Bakery row is why you needed 'a lot of bakeries':</t>
        </is>
      </c>
    </row>
    <row r="16">
      <c r="A16" s="2" t="inlineStr">
        <is>
          <t>gross +0.1 eq/t but its 2 workers eat 0.08/t -&gt; net +0.02, vs a farm's net +0.345. A bakery is ~6% of a farm.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" customWidth="1" min="3" max="3"/>
    <col width="38" customWidth="1" min="4" max="4"/>
    <col width="10" customWidth="1" min="5" max="5"/>
    <col width="10" customWidth="1" min="6" max="6"/>
  </cols>
  <sheetData>
    <row r="1">
      <c r="A1" s="1" t="inlineStr">
        <is>
          <t>Steady-state kingdom calculator</t>
        </is>
      </c>
    </row>
    <row r="2">
      <c r="A2" s="7" t="inlineStr">
        <is>
          <t>Blue = change me. Snapshot defaults to the year-12 sim state.</t>
        </is>
      </c>
    </row>
    <row r="4">
      <c r="A4" s="3" t="inlineStr">
        <is>
          <t>Assumptions</t>
        </is>
      </c>
      <c r="D4" s="4" t="inlineStr">
        <is>
          <t>Net flow per tick</t>
        </is>
      </c>
      <c r="E4" s="4" t="inlineStr">
        <is>
          <t>per tick</t>
        </is>
      </c>
      <c r="F4" s="4" t="inlineStr">
        <is>
          <t>per year</t>
        </is>
      </c>
    </row>
    <row r="5">
      <c r="A5" s="2" t="inlineStr">
        <is>
          <t>Eat per pop per tick</t>
        </is>
      </c>
      <c r="B5" s="5" t="n">
        <v>0.04</v>
      </c>
      <c r="D5" s="2" t="inlineStr">
        <is>
          <t>Food-eq produced</t>
        </is>
      </c>
      <c r="E5" s="8">
        <f>B15*0.5*B9+B16*0.4+B21*0.02</f>
        <v/>
      </c>
      <c r="F5" s="9">
        <f>E5*$B$7</f>
        <v/>
      </c>
    </row>
    <row r="6">
      <c r="A6" s="2" t="inlineStr">
        <is>
          <t>Soldier eat per tick</t>
        </is>
      </c>
      <c r="B6" s="5" t="n">
        <v>0.08</v>
      </c>
      <c r="D6" s="2" t="inlineStr">
        <is>
          <t>Food-eq eaten</t>
        </is>
      </c>
      <c r="E6" s="8">
        <f>B13*B5+B14*B6</f>
        <v/>
      </c>
      <c r="F6" s="9">
        <f>E6*$B$7</f>
        <v/>
      </c>
    </row>
    <row r="7">
      <c r="A7" s="2" t="inlineStr">
        <is>
          <t>Ticks per year</t>
        </is>
      </c>
      <c r="B7" s="5" t="n">
        <v>480</v>
      </c>
      <c r="D7" s="2" t="inlineStr">
        <is>
          <t>Food-eq NET</t>
        </is>
      </c>
      <c r="E7" s="8">
        <f>E5-E6</f>
        <v/>
      </c>
      <c r="F7" s="9">
        <f>E7*$B$7</f>
        <v/>
      </c>
    </row>
    <row r="8">
      <c r="A8" s="2" t="inlineStr">
        <is>
          <t>Morale (0-100)</t>
        </is>
      </c>
      <c r="B8" s="5" t="n">
        <v>70</v>
      </c>
      <c r="D8" s="2" t="inlineStr">
        <is>
          <t>Wood net</t>
        </is>
      </c>
      <c r="E8" s="8">
        <f>B17*0.35-B20*0.15</f>
        <v/>
      </c>
      <c r="F8" s="9">
        <f>E8*$B$7</f>
        <v/>
      </c>
    </row>
    <row r="9">
      <c r="A9" s="2" t="inlineStr">
        <is>
          <t>Farm winter avg mult</t>
        </is>
      </c>
      <c r="B9" s="5" t="n">
        <v>0.85</v>
      </c>
      <c r="D9" s="2" t="inlineStr">
        <is>
          <t>Stone net</t>
        </is>
      </c>
      <c r="E9" s="8">
        <f>B18*0.3</f>
        <v/>
      </c>
      <c r="F9" s="9">
        <f>E9*$B$7</f>
        <v/>
      </c>
    </row>
    <row r="10">
      <c r="A10" s="2" t="inlineStr">
        <is>
          <t>Avg sell mult of base price</t>
        </is>
      </c>
      <c r="B10" s="5" t="n">
        <v>0.7</v>
      </c>
      <c r="D10" s="2" t="inlineStr">
        <is>
          <t>Ore net</t>
        </is>
      </c>
      <c r="E10" s="8">
        <f>B19*0.25-B20*0.3</f>
        <v/>
      </c>
      <c r="F10" s="9">
        <f>E10*$B$7</f>
        <v/>
      </c>
    </row>
    <row r="11">
      <c r="D11" s="2" t="inlineStr">
        <is>
          <t>Iron net</t>
        </is>
      </c>
      <c r="E11" s="8">
        <f>B20*0.15</f>
        <v/>
      </c>
      <c r="F11" s="9">
        <f>E11*$B$7</f>
        <v/>
      </c>
    </row>
    <row r="12">
      <c r="A12" s="3" t="inlineStr">
        <is>
          <t>Kingdom snapshot</t>
        </is>
      </c>
      <c r="D12" s="2" t="inlineStr">
        <is>
          <t>Tax gold (market)</t>
        </is>
      </c>
      <c r="E12" s="8">
        <f>IF(B22&gt;0,B13*0.012*B8/50,0)</f>
        <v/>
      </c>
      <c r="F12" s="9">
        <f>E12*$B$7</f>
        <v/>
      </c>
    </row>
    <row r="13">
      <c r="A13" s="2" t="inlineStr">
        <is>
          <t>Population</t>
        </is>
      </c>
      <c r="B13" s="5" t="n">
        <v>186</v>
      </c>
      <c r="D13" s="2" t="inlineStr">
        <is>
          <t>Trade gold (sell all wood+stone surplus)</t>
        </is>
      </c>
      <c r="E13" s="8">
        <f>MAX(0,E8)*2*B10+MAX(0,E9)*3*B10</f>
        <v/>
      </c>
      <c r="F13" s="9">
        <f>E13*$B$7</f>
        <v/>
      </c>
    </row>
    <row r="14">
      <c r="A14" s="2" t="inlineStr">
        <is>
          <t>Soldiers</t>
        </is>
      </c>
      <c r="B14" s="5" t="n">
        <v>4</v>
      </c>
      <c r="D14" s="2" t="inlineStr">
        <is>
          <t>Gold NET</t>
        </is>
      </c>
      <c r="E14" s="8">
        <f>E12+E13</f>
        <v/>
      </c>
      <c r="F14" s="9">
        <f>E14*$B$7</f>
        <v/>
      </c>
    </row>
    <row r="15">
      <c r="A15" s="2" t="inlineStr">
        <is>
          <t>Farms</t>
        </is>
      </c>
      <c r="B15" s="5" t="n">
        <v>25</v>
      </c>
    </row>
    <row r="16">
      <c r="A16" s="2" t="inlineStr">
        <is>
          <t>Docks</t>
        </is>
      </c>
      <c r="B16" s="5" t="n">
        <v>0</v>
      </c>
      <c r="D16" s="7" t="inlineStr">
        <is>
          <t>Read: at this snapshot the treasury gains ~E14*480 gold/yr with nothing to spend it on.</t>
        </is>
      </c>
    </row>
    <row r="17">
      <c r="A17" s="2" t="inlineStr">
        <is>
          <t>Lumber camps</t>
        </is>
      </c>
      <c r="B17" s="5" t="n">
        <v>3</v>
      </c>
    </row>
    <row r="18">
      <c r="A18" s="2" t="inlineStr">
        <is>
          <t>Quarries</t>
        </is>
      </c>
      <c r="B18" s="5" t="n">
        <v>2</v>
      </c>
    </row>
    <row r="19">
      <c r="A19" s="2" t="inlineStr">
        <is>
          <t>Mines</t>
        </is>
      </c>
      <c r="B19" s="5" t="n">
        <v>2</v>
      </c>
    </row>
    <row r="20">
      <c r="A20" s="2" t="inlineStr">
        <is>
          <t>Smelters</t>
        </is>
      </c>
      <c r="B20" s="5" t="n">
        <v>1</v>
      </c>
    </row>
    <row r="21">
      <c r="A21" s="2" t="inlineStr">
        <is>
          <t>Bakeries</t>
        </is>
      </c>
      <c r="B21" s="5" t="n">
        <v>2</v>
      </c>
    </row>
    <row r="22">
      <c r="A22" s="2" t="inlineStr">
        <is>
          <t>Markets</t>
        </is>
      </c>
      <c r="B22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4" t="inlineStr">
        <is>
          <t>year</t>
        </is>
      </c>
      <c r="B1" s="4" t="inlineStr">
        <is>
          <t>season</t>
        </is>
      </c>
      <c r="C1" s="4" t="inlineStr">
        <is>
          <t>pop</t>
        </is>
      </c>
      <c r="D1" s="4" t="inlineStr">
        <is>
          <t>popCap</t>
        </is>
      </c>
      <c r="E1" s="4" t="inlineStr">
        <is>
          <t>soldiers</t>
        </is>
      </c>
      <c r="F1" s="4" t="inlineStr">
        <is>
          <t>territory</t>
        </is>
      </c>
      <c r="G1" s="4" t="inlineStr">
        <is>
          <t>food</t>
        </is>
      </c>
      <c r="H1" s="4" t="inlineStr">
        <is>
          <t>bread</t>
        </is>
      </c>
      <c r="I1" s="4" t="inlineStr">
        <is>
          <t>foodEq</t>
        </is>
      </c>
      <c r="J1" s="4" t="inlineStr">
        <is>
          <t>wood</t>
        </is>
      </c>
      <c r="K1" s="4" t="inlineStr">
        <is>
          <t>stone</t>
        </is>
      </c>
      <c r="L1" s="4" t="inlineStr">
        <is>
          <t>ore</t>
        </is>
      </c>
      <c r="M1" s="4" t="inlineStr">
        <is>
          <t>iron</t>
        </is>
      </c>
      <c r="N1" s="4" t="inlineStr">
        <is>
          <t>gold</t>
        </is>
      </c>
      <c r="O1" s="4" t="inlineStr">
        <is>
          <t>farms</t>
        </is>
      </c>
      <c r="P1" s="4" t="inlineStr">
        <is>
          <t>bakeries</t>
        </is>
      </c>
      <c r="Q1" s="4" t="inlineStr">
        <is>
          <t>towers</t>
        </is>
      </c>
      <c r="R1" s="4" t="inlineStr">
        <is>
          <t>buildings</t>
        </is>
      </c>
      <c r="S1" s="4" t="inlineStr">
        <is>
          <t>morale</t>
        </is>
      </c>
      <c r="T1" s="4" t="inlineStr">
        <is>
          <t>raidsSeen</t>
        </is>
      </c>
      <c r="U1" s="4" t="inlineStr">
        <is>
          <t>buildingsLost</t>
        </is>
      </c>
    </row>
    <row r="2">
      <c r="A2" t="n">
        <v>1</v>
      </c>
      <c r="B2" t="n">
        <v>0</v>
      </c>
      <c r="C2" t="n">
        <v>7</v>
      </c>
      <c r="D2" t="n">
        <v>10</v>
      </c>
      <c r="E2" t="n">
        <v>0</v>
      </c>
      <c r="F2" t="n">
        <v>113</v>
      </c>
      <c r="G2" t="n">
        <v>79</v>
      </c>
      <c r="H2" t="n">
        <v>0</v>
      </c>
      <c r="I2" t="n">
        <v>79</v>
      </c>
      <c r="J2" t="n">
        <v>8</v>
      </c>
      <c r="K2" t="n">
        <v>20</v>
      </c>
      <c r="L2" t="n">
        <v>0</v>
      </c>
      <c r="M2" t="n">
        <v>0</v>
      </c>
      <c r="N2" t="n">
        <v>10</v>
      </c>
      <c r="O2" t="n">
        <v>2</v>
      </c>
      <c r="P2" t="n">
        <v>0</v>
      </c>
      <c r="Q2" t="n">
        <v>0</v>
      </c>
      <c r="R2" t="n">
        <v>6</v>
      </c>
      <c r="S2" t="n">
        <v>55</v>
      </c>
      <c r="T2" t="n">
        <v>0</v>
      </c>
      <c r="U2" t="n">
        <v>0</v>
      </c>
    </row>
    <row r="3">
      <c r="A3" t="n">
        <v>1</v>
      </c>
      <c r="B3" t="n">
        <v>1</v>
      </c>
      <c r="C3" t="n">
        <v>9</v>
      </c>
      <c r="D3" t="n">
        <v>15</v>
      </c>
      <c r="E3" t="n">
        <v>0</v>
      </c>
      <c r="F3" t="n">
        <v>149</v>
      </c>
      <c r="G3" t="n">
        <v>119</v>
      </c>
      <c r="H3" t="n">
        <v>0</v>
      </c>
      <c r="I3" t="n">
        <v>119</v>
      </c>
      <c r="J3" t="n">
        <v>11</v>
      </c>
      <c r="K3" t="n">
        <v>10</v>
      </c>
      <c r="L3" t="n">
        <v>0</v>
      </c>
      <c r="M3" t="n">
        <v>0</v>
      </c>
      <c r="N3" t="n">
        <v>10</v>
      </c>
      <c r="O3" t="n">
        <v>2</v>
      </c>
      <c r="P3" t="n">
        <v>1</v>
      </c>
      <c r="Q3" t="n">
        <v>0</v>
      </c>
      <c r="R3" t="n">
        <v>8</v>
      </c>
      <c r="S3" t="n">
        <v>55</v>
      </c>
      <c r="T3" t="n">
        <v>0</v>
      </c>
      <c r="U3" t="n">
        <v>0</v>
      </c>
    </row>
    <row r="4">
      <c r="A4" t="n">
        <v>1</v>
      </c>
      <c r="B4" t="n">
        <v>1</v>
      </c>
      <c r="C4" t="n">
        <v>11</v>
      </c>
      <c r="D4" t="n">
        <v>15</v>
      </c>
      <c r="E4" t="n">
        <v>0</v>
      </c>
      <c r="F4" t="n">
        <v>187</v>
      </c>
      <c r="G4" t="n">
        <v>41</v>
      </c>
      <c r="H4" t="n">
        <v>0</v>
      </c>
      <c r="I4" t="n">
        <v>41</v>
      </c>
      <c r="J4" t="n">
        <v>30</v>
      </c>
      <c r="K4" t="n">
        <v>0</v>
      </c>
      <c r="L4" t="n">
        <v>0</v>
      </c>
      <c r="M4" t="n">
        <v>0</v>
      </c>
      <c r="N4" t="n">
        <v>91</v>
      </c>
      <c r="O4" t="n">
        <v>2</v>
      </c>
      <c r="P4" t="n">
        <v>2</v>
      </c>
      <c r="Q4" t="n">
        <v>0</v>
      </c>
      <c r="R4" t="n">
        <v>10</v>
      </c>
      <c r="S4" t="n">
        <v>55</v>
      </c>
      <c r="T4" t="n">
        <v>0</v>
      </c>
      <c r="U4" t="n">
        <v>0</v>
      </c>
    </row>
    <row r="5">
      <c r="A5" t="n">
        <v>1</v>
      </c>
      <c r="B5" t="n">
        <v>2</v>
      </c>
      <c r="C5" t="n">
        <v>12</v>
      </c>
      <c r="D5" t="n">
        <v>15</v>
      </c>
      <c r="E5" t="n">
        <v>0</v>
      </c>
      <c r="F5" t="n">
        <v>228</v>
      </c>
      <c r="G5" t="n">
        <v>48</v>
      </c>
      <c r="H5" t="n">
        <v>0</v>
      </c>
      <c r="I5" t="n">
        <v>48</v>
      </c>
      <c r="J5" t="n">
        <v>53</v>
      </c>
      <c r="K5" t="n">
        <v>1</v>
      </c>
      <c r="L5" t="n">
        <v>0</v>
      </c>
      <c r="M5" t="n">
        <v>0</v>
      </c>
      <c r="N5" t="n">
        <v>110</v>
      </c>
      <c r="O5" t="n">
        <v>3</v>
      </c>
      <c r="P5" t="n">
        <v>2</v>
      </c>
      <c r="Q5" t="n">
        <v>0</v>
      </c>
      <c r="R5" t="n">
        <v>12</v>
      </c>
      <c r="S5" t="n">
        <v>55</v>
      </c>
      <c r="T5" t="n">
        <v>0</v>
      </c>
      <c r="U5" t="n">
        <v>0</v>
      </c>
    </row>
    <row r="6">
      <c r="A6" t="n">
        <v>1</v>
      </c>
      <c r="B6" t="n">
        <v>2</v>
      </c>
      <c r="C6" t="n">
        <v>14</v>
      </c>
      <c r="D6" t="n">
        <v>20</v>
      </c>
      <c r="E6" t="n">
        <v>0</v>
      </c>
      <c r="F6" t="n">
        <v>272</v>
      </c>
      <c r="G6" t="n">
        <v>106</v>
      </c>
      <c r="H6" t="n">
        <v>0</v>
      </c>
      <c r="I6" t="n">
        <v>106</v>
      </c>
      <c r="J6" t="n">
        <v>96</v>
      </c>
      <c r="K6" t="n">
        <v>8</v>
      </c>
      <c r="L6" t="n">
        <v>0</v>
      </c>
      <c r="M6" t="n">
        <v>0</v>
      </c>
      <c r="N6" t="n">
        <v>110</v>
      </c>
      <c r="O6" t="n">
        <v>3</v>
      </c>
      <c r="P6" t="n">
        <v>2</v>
      </c>
      <c r="Q6" t="n">
        <v>0</v>
      </c>
      <c r="R6" t="n">
        <v>13</v>
      </c>
      <c r="S6" t="n">
        <v>55</v>
      </c>
      <c r="T6" t="n">
        <v>0</v>
      </c>
      <c r="U6" t="n">
        <v>0</v>
      </c>
    </row>
    <row r="7">
      <c r="A7" t="n">
        <v>1</v>
      </c>
      <c r="B7" t="n">
        <v>3</v>
      </c>
      <c r="C7" t="n">
        <v>16</v>
      </c>
      <c r="D7" t="n">
        <v>20</v>
      </c>
      <c r="E7" t="n">
        <v>0</v>
      </c>
      <c r="F7" t="n">
        <v>301</v>
      </c>
      <c r="G7" t="n">
        <v>159</v>
      </c>
      <c r="H7" t="n">
        <v>0</v>
      </c>
      <c r="I7" t="n">
        <v>159</v>
      </c>
      <c r="J7" t="n">
        <v>109</v>
      </c>
      <c r="K7" t="n">
        <v>6</v>
      </c>
      <c r="L7" t="n">
        <v>0</v>
      </c>
      <c r="M7" t="n">
        <v>0</v>
      </c>
      <c r="N7" t="n">
        <v>110</v>
      </c>
      <c r="O7" t="n">
        <v>3</v>
      </c>
      <c r="P7" t="n">
        <v>2</v>
      </c>
      <c r="Q7" t="n">
        <v>0</v>
      </c>
      <c r="R7" t="n">
        <v>15</v>
      </c>
      <c r="S7" t="n">
        <v>55</v>
      </c>
      <c r="T7" t="n">
        <v>1</v>
      </c>
      <c r="U7" t="n">
        <v>0</v>
      </c>
    </row>
    <row r="8">
      <c r="A8" t="n">
        <v>1</v>
      </c>
      <c r="B8" t="n">
        <v>3</v>
      </c>
      <c r="C8" t="n">
        <v>18</v>
      </c>
      <c r="D8" t="n">
        <v>20</v>
      </c>
      <c r="E8" t="n">
        <v>0</v>
      </c>
      <c r="F8" t="n">
        <v>301</v>
      </c>
      <c r="G8" t="n">
        <v>55</v>
      </c>
      <c r="H8" t="n">
        <v>0</v>
      </c>
      <c r="I8" t="n">
        <v>55</v>
      </c>
      <c r="J8" t="n">
        <v>83</v>
      </c>
      <c r="K8" t="n">
        <v>18</v>
      </c>
      <c r="L8" t="n">
        <v>0</v>
      </c>
      <c r="M8" t="n">
        <v>0</v>
      </c>
      <c r="N8" t="n">
        <v>315</v>
      </c>
      <c r="O8" t="n">
        <v>3</v>
      </c>
      <c r="P8" t="n">
        <v>2</v>
      </c>
      <c r="Q8" t="n">
        <v>0</v>
      </c>
      <c r="R8" t="n">
        <v>16</v>
      </c>
      <c r="S8" t="n">
        <v>55</v>
      </c>
      <c r="T8" t="n">
        <v>1</v>
      </c>
      <c r="U8" t="n">
        <v>0</v>
      </c>
    </row>
    <row r="9">
      <c r="A9" t="n">
        <v>2</v>
      </c>
      <c r="B9" t="n">
        <v>0</v>
      </c>
      <c r="C9" t="n">
        <v>19</v>
      </c>
      <c r="D9" t="n">
        <v>25</v>
      </c>
      <c r="E9" t="n">
        <v>0</v>
      </c>
      <c r="F9" t="n">
        <v>301</v>
      </c>
      <c r="G9" t="n">
        <v>52</v>
      </c>
      <c r="H9" t="n">
        <v>0</v>
      </c>
      <c r="I9" t="n">
        <v>52</v>
      </c>
      <c r="J9" t="n">
        <v>74</v>
      </c>
      <c r="K9" t="n">
        <v>27</v>
      </c>
      <c r="L9" t="n">
        <v>0</v>
      </c>
      <c r="M9" t="n">
        <v>0</v>
      </c>
      <c r="N9" t="n">
        <v>287</v>
      </c>
      <c r="O9" t="n">
        <v>4</v>
      </c>
      <c r="P9" t="n">
        <v>2</v>
      </c>
      <c r="Q9" t="n">
        <v>1</v>
      </c>
      <c r="R9" t="n">
        <v>19</v>
      </c>
      <c r="S9" t="n">
        <v>49</v>
      </c>
      <c r="T9" t="n">
        <v>1</v>
      </c>
      <c r="U9" t="n">
        <v>0</v>
      </c>
    </row>
    <row r="10">
      <c r="A10" t="n">
        <v>2</v>
      </c>
      <c r="B10" t="n">
        <v>0</v>
      </c>
      <c r="C10" t="n">
        <v>21</v>
      </c>
      <c r="D10" t="n">
        <v>25</v>
      </c>
      <c r="E10" t="n">
        <v>0</v>
      </c>
      <c r="F10" t="n">
        <v>301</v>
      </c>
      <c r="G10" t="n">
        <v>124</v>
      </c>
      <c r="H10" t="n">
        <v>0</v>
      </c>
      <c r="I10" t="n">
        <v>124</v>
      </c>
      <c r="J10" t="n">
        <v>122</v>
      </c>
      <c r="K10" t="n">
        <v>37</v>
      </c>
      <c r="L10" t="n">
        <v>2</v>
      </c>
      <c r="M10" t="n">
        <v>0</v>
      </c>
      <c r="N10" t="n">
        <v>287</v>
      </c>
      <c r="O10" t="n">
        <v>4</v>
      </c>
      <c r="P10" t="n">
        <v>2</v>
      </c>
      <c r="Q10" t="n">
        <v>2</v>
      </c>
      <c r="R10" t="n">
        <v>20</v>
      </c>
      <c r="S10" t="n">
        <v>51</v>
      </c>
      <c r="T10" t="n">
        <v>1</v>
      </c>
      <c r="U10" t="n">
        <v>0</v>
      </c>
    </row>
    <row r="11">
      <c r="A11" t="n">
        <v>2</v>
      </c>
      <c r="B11" t="n">
        <v>1</v>
      </c>
      <c r="C11" t="n">
        <v>23</v>
      </c>
      <c r="D11" t="n">
        <v>25</v>
      </c>
      <c r="E11" t="n">
        <v>0</v>
      </c>
      <c r="F11" t="n">
        <v>301</v>
      </c>
      <c r="G11" t="n">
        <v>192</v>
      </c>
      <c r="H11" t="n">
        <v>0</v>
      </c>
      <c r="I11" t="n">
        <v>192</v>
      </c>
      <c r="J11" t="n">
        <v>160</v>
      </c>
      <c r="K11" t="n">
        <v>43</v>
      </c>
      <c r="L11" t="n">
        <v>10</v>
      </c>
      <c r="M11" t="n">
        <v>0</v>
      </c>
      <c r="N11" t="n">
        <v>262</v>
      </c>
      <c r="O11" t="n">
        <v>4</v>
      </c>
      <c r="P11" t="n">
        <v>2</v>
      </c>
      <c r="Q11" t="n">
        <v>2</v>
      </c>
      <c r="R11" t="n">
        <v>21</v>
      </c>
      <c r="S11" t="n">
        <v>57</v>
      </c>
      <c r="T11" t="n">
        <v>1</v>
      </c>
      <c r="U11" t="n">
        <v>0</v>
      </c>
    </row>
    <row r="12">
      <c r="A12" t="n">
        <v>2</v>
      </c>
      <c r="B12" t="n">
        <v>1</v>
      </c>
      <c r="C12" t="n">
        <v>24</v>
      </c>
      <c r="D12" t="n">
        <v>30</v>
      </c>
      <c r="E12" t="n">
        <v>0</v>
      </c>
      <c r="F12" t="n">
        <v>301</v>
      </c>
      <c r="G12" t="n">
        <v>77</v>
      </c>
      <c r="H12" t="n">
        <v>0</v>
      </c>
      <c r="I12" t="n">
        <v>77</v>
      </c>
      <c r="J12" t="n">
        <v>90</v>
      </c>
      <c r="K12" t="n">
        <v>24</v>
      </c>
      <c r="L12" t="n">
        <v>27</v>
      </c>
      <c r="M12" t="n">
        <v>0</v>
      </c>
      <c r="N12" t="n">
        <v>562</v>
      </c>
      <c r="O12" t="n">
        <v>4</v>
      </c>
      <c r="P12" t="n">
        <v>2</v>
      </c>
      <c r="Q12" t="n">
        <v>2</v>
      </c>
      <c r="R12" t="n">
        <v>24</v>
      </c>
      <c r="S12" t="n">
        <v>64</v>
      </c>
      <c r="T12" t="n">
        <v>1</v>
      </c>
      <c r="U12" t="n">
        <v>0</v>
      </c>
    </row>
    <row r="13">
      <c r="A13" t="n">
        <v>2</v>
      </c>
      <c r="B13" t="n">
        <v>2</v>
      </c>
      <c r="C13" t="n">
        <v>26</v>
      </c>
      <c r="D13" t="n">
        <v>30</v>
      </c>
      <c r="E13" t="n">
        <v>0</v>
      </c>
      <c r="F13" t="n">
        <v>301</v>
      </c>
      <c r="G13" t="n">
        <v>103</v>
      </c>
      <c r="H13" t="n">
        <v>0</v>
      </c>
      <c r="I13" t="n">
        <v>103</v>
      </c>
      <c r="J13" t="n">
        <v>109</v>
      </c>
      <c r="K13" t="n">
        <v>60</v>
      </c>
      <c r="L13" t="n">
        <v>54</v>
      </c>
      <c r="M13" t="n">
        <v>0</v>
      </c>
      <c r="N13" t="n">
        <v>646</v>
      </c>
      <c r="O13" t="n">
        <v>4</v>
      </c>
      <c r="P13" t="n">
        <v>2</v>
      </c>
      <c r="Q13" t="n">
        <v>2</v>
      </c>
      <c r="R13" t="n">
        <v>24</v>
      </c>
      <c r="S13" t="n">
        <v>66</v>
      </c>
      <c r="T13" t="n">
        <v>1</v>
      </c>
      <c r="U13" t="n">
        <v>0</v>
      </c>
    </row>
    <row r="14">
      <c r="A14" t="n">
        <v>2</v>
      </c>
      <c r="B14" t="n">
        <v>2</v>
      </c>
      <c r="C14" t="n">
        <v>28</v>
      </c>
      <c r="D14" t="n">
        <v>30</v>
      </c>
      <c r="E14" t="n">
        <v>0</v>
      </c>
      <c r="F14" t="n">
        <v>301</v>
      </c>
      <c r="G14" t="n">
        <v>183</v>
      </c>
      <c r="H14" t="n">
        <v>0</v>
      </c>
      <c r="I14" t="n">
        <v>183</v>
      </c>
      <c r="J14" t="n">
        <v>157</v>
      </c>
      <c r="K14" t="n">
        <v>96</v>
      </c>
      <c r="L14" t="n">
        <v>81</v>
      </c>
      <c r="M14" t="n">
        <v>0</v>
      </c>
      <c r="N14" t="n">
        <v>646</v>
      </c>
      <c r="O14" t="n">
        <v>5</v>
      </c>
      <c r="P14" t="n">
        <v>2</v>
      </c>
      <c r="Q14" t="n">
        <v>2</v>
      </c>
      <c r="R14" t="n">
        <v>25</v>
      </c>
      <c r="S14" t="n">
        <v>67</v>
      </c>
      <c r="T14" t="n">
        <v>1</v>
      </c>
      <c r="U14" t="n">
        <v>0</v>
      </c>
    </row>
    <row r="15">
      <c r="A15" t="n">
        <v>2</v>
      </c>
      <c r="B15" t="n">
        <v>3</v>
      </c>
      <c r="C15" t="n">
        <v>30</v>
      </c>
      <c r="D15" t="n">
        <v>35</v>
      </c>
      <c r="E15" t="n">
        <v>0</v>
      </c>
      <c r="F15" t="n">
        <v>301</v>
      </c>
      <c r="G15" t="n">
        <v>212</v>
      </c>
      <c r="H15" t="n">
        <v>0</v>
      </c>
      <c r="I15" t="n">
        <v>212</v>
      </c>
      <c r="J15" t="n">
        <v>146</v>
      </c>
      <c r="K15" t="n">
        <v>82</v>
      </c>
      <c r="L15" t="n">
        <v>102</v>
      </c>
      <c r="M15" t="n">
        <v>4</v>
      </c>
      <c r="N15" t="n">
        <v>953</v>
      </c>
      <c r="O15" t="n">
        <v>5</v>
      </c>
      <c r="P15" t="n">
        <v>2</v>
      </c>
      <c r="Q15" t="n">
        <v>2</v>
      </c>
      <c r="R15" t="n">
        <v>26</v>
      </c>
      <c r="S15" t="n">
        <v>67</v>
      </c>
      <c r="T15" t="n">
        <v>1</v>
      </c>
      <c r="U15" t="n">
        <v>0</v>
      </c>
    </row>
    <row r="16">
      <c r="A16" t="n">
        <v>2</v>
      </c>
      <c r="B16" t="n">
        <v>3</v>
      </c>
      <c r="C16" t="n">
        <v>32</v>
      </c>
      <c r="D16" t="n">
        <v>35</v>
      </c>
      <c r="E16" t="n">
        <v>0</v>
      </c>
      <c r="F16" t="n">
        <v>301</v>
      </c>
      <c r="G16" t="n">
        <v>79</v>
      </c>
      <c r="H16" t="n">
        <v>0</v>
      </c>
      <c r="I16" t="n">
        <v>79</v>
      </c>
      <c r="J16" t="n">
        <v>81</v>
      </c>
      <c r="K16" t="n">
        <v>87</v>
      </c>
      <c r="L16" t="n">
        <v>114</v>
      </c>
      <c r="M16" t="n">
        <v>5</v>
      </c>
      <c r="N16" t="n">
        <v>1151</v>
      </c>
      <c r="O16" t="n">
        <v>5</v>
      </c>
      <c r="P16" t="n">
        <v>2</v>
      </c>
      <c r="Q16" t="n">
        <v>2</v>
      </c>
      <c r="R16" t="n">
        <v>27</v>
      </c>
      <c r="S16" t="n">
        <v>68</v>
      </c>
      <c r="T16" t="n">
        <v>2</v>
      </c>
      <c r="U16" t="n">
        <v>0</v>
      </c>
    </row>
    <row r="17">
      <c r="A17" t="n">
        <v>3</v>
      </c>
      <c r="B17" t="n">
        <v>0</v>
      </c>
      <c r="C17" t="n">
        <v>34</v>
      </c>
      <c r="D17" t="n">
        <v>35</v>
      </c>
      <c r="E17" t="n">
        <v>2</v>
      </c>
      <c r="F17" t="n">
        <v>301</v>
      </c>
      <c r="G17" t="n">
        <v>63</v>
      </c>
      <c r="H17" t="n">
        <v>0</v>
      </c>
      <c r="I17" t="n">
        <v>63</v>
      </c>
      <c r="J17" t="n">
        <v>124</v>
      </c>
      <c r="K17" t="n">
        <v>112</v>
      </c>
      <c r="L17" t="n">
        <v>126</v>
      </c>
      <c r="M17" t="n">
        <v>4</v>
      </c>
      <c r="N17" t="n">
        <v>1153</v>
      </c>
      <c r="O17" t="n">
        <v>5</v>
      </c>
      <c r="P17" t="n">
        <v>2</v>
      </c>
      <c r="Q17" t="n">
        <v>2</v>
      </c>
      <c r="R17" t="n">
        <v>27</v>
      </c>
      <c r="S17" t="n">
        <v>69</v>
      </c>
      <c r="T17" t="n">
        <v>2</v>
      </c>
      <c r="U17" t="n">
        <v>0</v>
      </c>
    </row>
    <row r="18">
      <c r="A18" t="n">
        <v>3</v>
      </c>
      <c r="B18" t="n">
        <v>0</v>
      </c>
      <c r="C18" t="n">
        <v>36</v>
      </c>
      <c r="D18" t="n">
        <v>40</v>
      </c>
      <c r="E18" t="n">
        <v>2</v>
      </c>
      <c r="F18" t="n">
        <v>301</v>
      </c>
      <c r="G18" t="n">
        <v>148</v>
      </c>
      <c r="H18" t="n">
        <v>0</v>
      </c>
      <c r="I18" t="n">
        <v>148</v>
      </c>
      <c r="J18" t="n">
        <v>143</v>
      </c>
      <c r="K18" t="n">
        <v>148</v>
      </c>
      <c r="L18" t="n">
        <v>138</v>
      </c>
      <c r="M18" t="n">
        <v>3</v>
      </c>
      <c r="N18" t="n">
        <v>1125</v>
      </c>
      <c r="O18" t="n">
        <v>6</v>
      </c>
      <c r="P18" t="n">
        <v>2</v>
      </c>
      <c r="Q18" t="n">
        <v>2</v>
      </c>
      <c r="R18" t="n">
        <v>29</v>
      </c>
      <c r="S18" t="n">
        <v>72</v>
      </c>
      <c r="T18" t="n">
        <v>2</v>
      </c>
      <c r="U18" t="n">
        <v>0</v>
      </c>
    </row>
    <row r="19">
      <c r="A19" t="n">
        <v>3</v>
      </c>
      <c r="B19" t="n">
        <v>1</v>
      </c>
      <c r="C19" t="n">
        <v>37</v>
      </c>
      <c r="D19" t="n">
        <v>40</v>
      </c>
      <c r="E19" t="n">
        <v>3</v>
      </c>
      <c r="F19" t="n">
        <v>301</v>
      </c>
      <c r="G19" t="n">
        <v>111</v>
      </c>
      <c r="H19" t="n">
        <v>0</v>
      </c>
      <c r="I19" t="n">
        <v>111</v>
      </c>
      <c r="J19" t="n">
        <v>89</v>
      </c>
      <c r="K19" t="n">
        <v>83</v>
      </c>
      <c r="L19" t="n">
        <v>150</v>
      </c>
      <c r="M19" t="n">
        <v>2</v>
      </c>
      <c r="N19" t="n">
        <v>1615</v>
      </c>
      <c r="O19" t="n">
        <v>6</v>
      </c>
      <c r="P19" t="n">
        <v>2</v>
      </c>
      <c r="Q19" t="n">
        <v>2</v>
      </c>
      <c r="R19" t="n">
        <v>29</v>
      </c>
      <c r="S19" t="n">
        <v>74</v>
      </c>
      <c r="T19" t="n">
        <v>2</v>
      </c>
      <c r="U19" t="n">
        <v>0</v>
      </c>
    </row>
    <row r="20">
      <c r="A20" t="n">
        <v>3</v>
      </c>
      <c r="B20" t="n">
        <v>1</v>
      </c>
      <c r="C20" t="n">
        <v>39</v>
      </c>
      <c r="D20" t="n">
        <v>45</v>
      </c>
      <c r="E20" t="n">
        <v>4</v>
      </c>
      <c r="F20" t="n">
        <v>301</v>
      </c>
      <c r="G20" t="n">
        <v>125</v>
      </c>
      <c r="H20" t="n">
        <v>0</v>
      </c>
      <c r="I20" t="n">
        <v>125</v>
      </c>
      <c r="J20" t="n">
        <v>79</v>
      </c>
      <c r="K20" t="n">
        <v>86</v>
      </c>
      <c r="L20" t="n">
        <v>162</v>
      </c>
      <c r="M20" t="n">
        <v>6</v>
      </c>
      <c r="N20" t="n">
        <v>1741</v>
      </c>
      <c r="O20" t="n">
        <v>6</v>
      </c>
      <c r="P20" t="n">
        <v>2</v>
      </c>
      <c r="Q20" t="n">
        <v>2</v>
      </c>
      <c r="R20" t="n">
        <v>30</v>
      </c>
      <c r="S20" t="n">
        <v>75</v>
      </c>
      <c r="T20" t="n">
        <v>2</v>
      </c>
      <c r="U20" t="n">
        <v>0</v>
      </c>
    </row>
    <row r="21">
      <c r="A21" t="n">
        <v>3</v>
      </c>
      <c r="B21" t="n">
        <v>2</v>
      </c>
      <c r="C21" t="n">
        <v>41</v>
      </c>
      <c r="D21" t="n">
        <v>45</v>
      </c>
      <c r="E21" t="n">
        <v>4</v>
      </c>
      <c r="F21" t="n">
        <v>301</v>
      </c>
      <c r="G21" t="n">
        <v>201</v>
      </c>
      <c r="H21" t="n">
        <v>0</v>
      </c>
      <c r="I21" t="n">
        <v>201</v>
      </c>
      <c r="J21" t="n">
        <v>133</v>
      </c>
      <c r="K21" t="n">
        <v>122</v>
      </c>
      <c r="L21" t="n">
        <v>174</v>
      </c>
      <c r="M21" t="n">
        <v>15</v>
      </c>
      <c r="N21" t="n">
        <v>1784</v>
      </c>
      <c r="O21" t="n">
        <v>6</v>
      </c>
      <c r="P21" t="n">
        <v>2</v>
      </c>
      <c r="Q21" t="n">
        <v>2</v>
      </c>
      <c r="R21" t="n">
        <v>30</v>
      </c>
      <c r="S21" t="n">
        <v>75</v>
      </c>
      <c r="T21" t="n">
        <v>2</v>
      </c>
      <c r="U21" t="n">
        <v>0</v>
      </c>
    </row>
    <row r="22">
      <c r="A22" t="n">
        <v>3</v>
      </c>
      <c r="B22" t="n">
        <v>2</v>
      </c>
      <c r="C22" t="n">
        <v>43</v>
      </c>
      <c r="D22" t="n">
        <v>45</v>
      </c>
      <c r="E22" t="n">
        <v>4</v>
      </c>
      <c r="F22" t="n">
        <v>301</v>
      </c>
      <c r="G22" t="n">
        <v>133</v>
      </c>
      <c r="H22" t="n">
        <v>0</v>
      </c>
      <c r="I22" t="n">
        <v>133</v>
      </c>
      <c r="J22" t="n">
        <v>85</v>
      </c>
      <c r="K22" t="n">
        <v>80</v>
      </c>
      <c r="L22" t="n">
        <v>186</v>
      </c>
      <c r="M22" t="n">
        <v>24</v>
      </c>
      <c r="N22" t="n">
        <v>2395</v>
      </c>
      <c r="O22" t="n">
        <v>7</v>
      </c>
      <c r="P22" t="n">
        <v>2</v>
      </c>
      <c r="Q22" t="n">
        <v>2</v>
      </c>
      <c r="R22" t="n">
        <v>31</v>
      </c>
      <c r="S22" t="n">
        <v>75</v>
      </c>
      <c r="T22" t="n">
        <v>2</v>
      </c>
      <c r="U22" t="n">
        <v>0</v>
      </c>
    </row>
    <row r="23">
      <c r="A23" t="n">
        <v>3</v>
      </c>
      <c r="B23" t="n">
        <v>3</v>
      </c>
      <c r="C23" t="n">
        <v>45</v>
      </c>
      <c r="D23" t="n">
        <v>50</v>
      </c>
      <c r="E23" t="n">
        <v>4</v>
      </c>
      <c r="F23" t="n">
        <v>301</v>
      </c>
      <c r="G23" t="n">
        <v>136</v>
      </c>
      <c r="H23" t="n">
        <v>0</v>
      </c>
      <c r="I23" t="n">
        <v>136</v>
      </c>
      <c r="J23" t="n">
        <v>86</v>
      </c>
      <c r="K23" t="n">
        <v>83</v>
      </c>
      <c r="L23" t="n">
        <v>198</v>
      </c>
      <c r="M23" t="n">
        <v>33</v>
      </c>
      <c r="N23" t="n">
        <v>2584</v>
      </c>
      <c r="O23" t="n">
        <v>7</v>
      </c>
      <c r="P23" t="n">
        <v>2</v>
      </c>
      <c r="Q23" t="n">
        <v>2</v>
      </c>
      <c r="R23" t="n">
        <v>32</v>
      </c>
      <c r="S23" t="n">
        <v>75</v>
      </c>
      <c r="T23" t="n">
        <v>2</v>
      </c>
      <c r="U23" t="n">
        <v>0</v>
      </c>
    </row>
    <row r="24">
      <c r="A24" t="n">
        <v>3</v>
      </c>
      <c r="B24" t="n">
        <v>3</v>
      </c>
      <c r="C24" t="n">
        <v>47</v>
      </c>
      <c r="D24" t="n">
        <v>50</v>
      </c>
      <c r="E24" t="n">
        <v>4</v>
      </c>
      <c r="F24" t="n">
        <v>301</v>
      </c>
      <c r="G24" t="n">
        <v>102</v>
      </c>
      <c r="H24" t="n">
        <v>0</v>
      </c>
      <c r="I24" t="n">
        <v>102</v>
      </c>
      <c r="J24" t="n">
        <v>140</v>
      </c>
      <c r="K24" t="n">
        <v>119</v>
      </c>
      <c r="L24" t="n">
        <v>210</v>
      </c>
      <c r="M24" t="n">
        <v>42</v>
      </c>
      <c r="N24" t="n">
        <v>2632</v>
      </c>
      <c r="O24" t="n">
        <v>7</v>
      </c>
      <c r="P24" t="n">
        <v>2</v>
      </c>
      <c r="Q24" t="n">
        <v>2</v>
      </c>
      <c r="R24" t="n">
        <v>32</v>
      </c>
      <c r="S24" t="n">
        <v>72</v>
      </c>
      <c r="T24" t="n">
        <v>3</v>
      </c>
      <c r="U24" t="n">
        <v>0</v>
      </c>
    </row>
    <row r="25">
      <c r="A25" t="n">
        <v>4</v>
      </c>
      <c r="B25" t="n">
        <v>0</v>
      </c>
      <c r="C25" t="n">
        <v>49</v>
      </c>
      <c r="D25" t="n">
        <v>50</v>
      </c>
      <c r="E25" t="n">
        <v>4</v>
      </c>
      <c r="F25" t="n">
        <v>301</v>
      </c>
      <c r="G25" t="n">
        <v>72</v>
      </c>
      <c r="H25" t="n">
        <v>0</v>
      </c>
      <c r="I25" t="n">
        <v>72</v>
      </c>
      <c r="J25" t="n">
        <v>194</v>
      </c>
      <c r="K25" t="n">
        <v>155</v>
      </c>
      <c r="L25" t="n">
        <v>222</v>
      </c>
      <c r="M25" t="n">
        <v>31</v>
      </c>
      <c r="N25" t="n">
        <v>2622</v>
      </c>
      <c r="O25" t="n">
        <v>7</v>
      </c>
      <c r="P25" t="n">
        <v>2</v>
      </c>
      <c r="Q25" t="n">
        <v>2</v>
      </c>
      <c r="R25" t="n">
        <v>32</v>
      </c>
      <c r="S25" t="n">
        <v>70</v>
      </c>
      <c r="T25" t="n">
        <v>3</v>
      </c>
      <c r="U25" t="n">
        <v>0</v>
      </c>
    </row>
    <row r="26">
      <c r="A26" t="n">
        <v>4</v>
      </c>
      <c r="B26" t="n">
        <v>0</v>
      </c>
      <c r="C26" t="n">
        <v>51</v>
      </c>
      <c r="D26" t="n">
        <v>55</v>
      </c>
      <c r="E26" t="n">
        <v>4</v>
      </c>
      <c r="F26" t="n">
        <v>301</v>
      </c>
      <c r="G26" t="n">
        <v>155</v>
      </c>
      <c r="H26" t="n">
        <v>0</v>
      </c>
      <c r="I26" t="n">
        <v>155</v>
      </c>
      <c r="J26" t="n">
        <v>90</v>
      </c>
      <c r="K26" t="n">
        <v>80</v>
      </c>
      <c r="L26" t="n">
        <v>234</v>
      </c>
      <c r="M26" t="n">
        <v>40</v>
      </c>
      <c r="N26" t="n">
        <v>3203</v>
      </c>
      <c r="O26" t="n">
        <v>7</v>
      </c>
      <c r="P26" t="n">
        <v>2</v>
      </c>
      <c r="Q26" t="n">
        <v>2</v>
      </c>
      <c r="R26" t="n">
        <v>33</v>
      </c>
      <c r="S26" t="n">
        <v>70</v>
      </c>
      <c r="T26" t="n">
        <v>3</v>
      </c>
      <c r="U26" t="n">
        <v>0</v>
      </c>
    </row>
    <row r="27">
      <c r="A27" t="n">
        <v>4</v>
      </c>
      <c r="B27" t="n">
        <v>1</v>
      </c>
      <c r="C27" t="n">
        <v>53</v>
      </c>
      <c r="D27" t="n">
        <v>55</v>
      </c>
      <c r="E27" t="n">
        <v>4</v>
      </c>
      <c r="F27" t="n">
        <v>301</v>
      </c>
      <c r="G27" t="n">
        <v>162</v>
      </c>
      <c r="H27" t="n">
        <v>0</v>
      </c>
      <c r="I27" t="n">
        <v>162</v>
      </c>
      <c r="J27" t="n">
        <v>85</v>
      </c>
      <c r="K27" t="n">
        <v>83</v>
      </c>
      <c r="L27" t="n">
        <v>246</v>
      </c>
      <c r="M27" t="n">
        <v>49</v>
      </c>
      <c r="N27" t="n">
        <v>3463</v>
      </c>
      <c r="O27" t="n">
        <v>8</v>
      </c>
      <c r="P27" t="n">
        <v>2</v>
      </c>
      <c r="Q27" t="n">
        <v>2</v>
      </c>
      <c r="R27" t="n">
        <v>34</v>
      </c>
      <c r="S27" t="n">
        <v>74</v>
      </c>
      <c r="T27" t="n">
        <v>3</v>
      </c>
      <c r="U27" t="n">
        <v>0</v>
      </c>
    </row>
    <row r="28">
      <c r="A28" t="n">
        <v>4</v>
      </c>
      <c r="B28" t="n">
        <v>1</v>
      </c>
      <c r="C28" t="n">
        <v>55</v>
      </c>
      <c r="D28" t="n">
        <v>60</v>
      </c>
      <c r="E28" t="n">
        <v>4</v>
      </c>
      <c r="F28" t="n">
        <v>301</v>
      </c>
      <c r="G28" t="n">
        <v>255</v>
      </c>
      <c r="H28" t="n">
        <v>0</v>
      </c>
      <c r="I28" t="n">
        <v>255</v>
      </c>
      <c r="J28" t="n">
        <v>108</v>
      </c>
      <c r="K28" t="n">
        <v>119</v>
      </c>
      <c r="L28" t="n">
        <v>258</v>
      </c>
      <c r="M28" t="n">
        <v>58</v>
      </c>
      <c r="N28" t="n">
        <v>3536</v>
      </c>
      <c r="O28" t="n">
        <v>8</v>
      </c>
      <c r="P28" t="n">
        <v>2</v>
      </c>
      <c r="Q28" t="n">
        <v>2</v>
      </c>
      <c r="R28" t="n">
        <v>35</v>
      </c>
      <c r="S28" t="n">
        <v>75</v>
      </c>
      <c r="T28" t="n">
        <v>4</v>
      </c>
      <c r="U28" t="n">
        <v>0</v>
      </c>
    </row>
    <row r="29">
      <c r="A29" t="n">
        <v>4</v>
      </c>
      <c r="B29" t="n">
        <v>2</v>
      </c>
      <c r="C29" t="n">
        <v>56</v>
      </c>
      <c r="D29" t="n">
        <v>60</v>
      </c>
      <c r="E29" t="n">
        <v>3</v>
      </c>
      <c r="F29" t="n">
        <v>301</v>
      </c>
      <c r="G29" t="n">
        <v>361</v>
      </c>
      <c r="H29" t="n">
        <v>0</v>
      </c>
      <c r="I29" t="n">
        <v>361</v>
      </c>
      <c r="J29" t="n">
        <v>162</v>
      </c>
      <c r="K29" t="n">
        <v>155</v>
      </c>
      <c r="L29" t="n">
        <v>270</v>
      </c>
      <c r="M29" t="n">
        <v>52</v>
      </c>
      <c r="N29" t="n">
        <v>3550</v>
      </c>
      <c r="O29" t="n">
        <v>8</v>
      </c>
      <c r="P29" t="n">
        <v>2</v>
      </c>
      <c r="Q29" t="n">
        <v>2</v>
      </c>
      <c r="R29" t="n">
        <v>35</v>
      </c>
      <c r="S29" t="n">
        <v>75</v>
      </c>
      <c r="T29" t="n">
        <v>4</v>
      </c>
      <c r="U29" t="n">
        <v>0</v>
      </c>
    </row>
    <row r="30">
      <c r="A30" t="n">
        <v>4</v>
      </c>
      <c r="B30" t="n">
        <v>2</v>
      </c>
      <c r="C30" t="n">
        <v>58</v>
      </c>
      <c r="D30" t="n">
        <v>60</v>
      </c>
      <c r="E30" t="n">
        <v>4</v>
      </c>
      <c r="F30" t="n">
        <v>301</v>
      </c>
      <c r="G30" t="n">
        <v>184</v>
      </c>
      <c r="H30" t="n">
        <v>0</v>
      </c>
      <c r="I30" t="n">
        <v>184</v>
      </c>
      <c r="J30" t="n">
        <v>87</v>
      </c>
      <c r="K30" t="n">
        <v>84</v>
      </c>
      <c r="L30" t="n">
        <v>282</v>
      </c>
      <c r="M30" t="n">
        <v>56</v>
      </c>
      <c r="N30" t="n">
        <v>4245</v>
      </c>
      <c r="O30" t="n">
        <v>9</v>
      </c>
      <c r="P30" t="n">
        <v>2</v>
      </c>
      <c r="Q30" t="n">
        <v>2</v>
      </c>
      <c r="R30" t="n">
        <v>36</v>
      </c>
      <c r="S30" t="n">
        <v>75</v>
      </c>
      <c r="T30" t="n">
        <v>4</v>
      </c>
      <c r="U30" t="n">
        <v>0</v>
      </c>
    </row>
    <row r="31">
      <c r="A31" t="n">
        <v>4</v>
      </c>
      <c r="B31" t="n">
        <v>3</v>
      </c>
      <c r="C31" t="n">
        <v>60</v>
      </c>
      <c r="D31" t="n">
        <v>65</v>
      </c>
      <c r="E31" t="n">
        <v>4</v>
      </c>
      <c r="F31" t="n">
        <v>301</v>
      </c>
      <c r="G31" t="n">
        <v>196</v>
      </c>
      <c r="H31" t="n">
        <v>0</v>
      </c>
      <c r="I31" t="n">
        <v>196</v>
      </c>
      <c r="J31" t="n">
        <v>88</v>
      </c>
      <c r="K31" t="n">
        <v>87</v>
      </c>
      <c r="L31" t="n">
        <v>294</v>
      </c>
      <c r="M31" t="n">
        <v>65</v>
      </c>
      <c r="N31" t="n">
        <v>4396</v>
      </c>
      <c r="O31" t="n">
        <v>9</v>
      </c>
      <c r="P31" t="n">
        <v>2</v>
      </c>
      <c r="Q31" t="n">
        <v>2</v>
      </c>
      <c r="R31" t="n">
        <v>37</v>
      </c>
      <c r="S31" t="n">
        <v>75</v>
      </c>
      <c r="T31" t="n">
        <v>4</v>
      </c>
      <c r="U31" t="n">
        <v>0</v>
      </c>
    </row>
    <row r="32">
      <c r="A32" t="n">
        <v>4</v>
      </c>
      <c r="B32" t="n">
        <v>3</v>
      </c>
      <c r="C32" t="n">
        <v>62</v>
      </c>
      <c r="D32" t="n">
        <v>65</v>
      </c>
      <c r="E32" t="n">
        <v>4</v>
      </c>
      <c r="F32" t="n">
        <v>301</v>
      </c>
      <c r="G32" t="n">
        <v>150</v>
      </c>
      <c r="H32" t="n">
        <v>0</v>
      </c>
      <c r="I32" t="n">
        <v>150</v>
      </c>
      <c r="J32" t="n">
        <v>142</v>
      </c>
      <c r="K32" t="n">
        <v>123</v>
      </c>
      <c r="L32" t="n">
        <v>306</v>
      </c>
      <c r="M32" t="n">
        <v>74</v>
      </c>
      <c r="N32" t="n">
        <v>4461</v>
      </c>
      <c r="O32" t="n">
        <v>9</v>
      </c>
      <c r="P32" t="n">
        <v>2</v>
      </c>
      <c r="Q32" t="n">
        <v>2</v>
      </c>
      <c r="R32" t="n">
        <v>37</v>
      </c>
      <c r="S32" t="n">
        <v>72</v>
      </c>
      <c r="T32" t="n">
        <v>4</v>
      </c>
      <c r="U32" t="n">
        <v>0</v>
      </c>
    </row>
    <row r="33">
      <c r="A33" t="n">
        <v>5</v>
      </c>
      <c r="B33" t="n">
        <v>0</v>
      </c>
      <c r="C33" t="n">
        <v>64</v>
      </c>
      <c r="D33" t="n">
        <v>65</v>
      </c>
      <c r="E33" t="n">
        <v>4</v>
      </c>
      <c r="F33" t="n">
        <v>301</v>
      </c>
      <c r="G33" t="n">
        <v>101</v>
      </c>
      <c r="H33" t="n">
        <v>0</v>
      </c>
      <c r="I33" t="n">
        <v>101</v>
      </c>
      <c r="J33" t="n">
        <v>196</v>
      </c>
      <c r="K33" t="n">
        <v>159</v>
      </c>
      <c r="L33" t="n">
        <v>318</v>
      </c>
      <c r="M33" t="n">
        <v>83</v>
      </c>
      <c r="N33" t="n">
        <v>4526</v>
      </c>
      <c r="O33" t="n">
        <v>9</v>
      </c>
      <c r="P33" t="n">
        <v>2</v>
      </c>
      <c r="Q33" t="n">
        <v>2</v>
      </c>
      <c r="R33" t="n">
        <v>37</v>
      </c>
      <c r="S33" t="n">
        <v>71</v>
      </c>
      <c r="T33" t="n">
        <v>4</v>
      </c>
      <c r="U33" t="n">
        <v>0</v>
      </c>
    </row>
    <row r="34">
      <c r="A34" t="n">
        <v>5</v>
      </c>
      <c r="B34" t="n">
        <v>0</v>
      </c>
      <c r="C34" t="n">
        <v>66</v>
      </c>
      <c r="D34" t="n">
        <v>70</v>
      </c>
      <c r="E34" t="n">
        <v>4</v>
      </c>
      <c r="F34" t="n">
        <v>301</v>
      </c>
      <c r="G34" t="n">
        <v>208</v>
      </c>
      <c r="H34" t="n">
        <v>0</v>
      </c>
      <c r="I34" t="n">
        <v>208</v>
      </c>
      <c r="J34" t="n">
        <v>90</v>
      </c>
      <c r="K34" t="n">
        <v>80</v>
      </c>
      <c r="L34" t="n">
        <v>330</v>
      </c>
      <c r="M34" t="n">
        <v>81</v>
      </c>
      <c r="N34" t="n">
        <v>5249</v>
      </c>
      <c r="O34" t="n">
        <v>9</v>
      </c>
      <c r="P34" t="n">
        <v>2</v>
      </c>
      <c r="Q34" t="n">
        <v>2</v>
      </c>
      <c r="R34" t="n">
        <v>38</v>
      </c>
      <c r="S34" t="n">
        <v>71</v>
      </c>
      <c r="T34" t="n">
        <v>5</v>
      </c>
      <c r="U34" t="n">
        <v>0</v>
      </c>
    </row>
    <row r="35">
      <c r="A35" t="n">
        <v>5</v>
      </c>
      <c r="B35" t="n">
        <v>1</v>
      </c>
      <c r="C35" t="n">
        <v>68</v>
      </c>
      <c r="D35" t="n">
        <v>70</v>
      </c>
      <c r="E35" t="n">
        <v>4</v>
      </c>
      <c r="F35" t="n">
        <v>301</v>
      </c>
      <c r="G35" t="n">
        <v>240</v>
      </c>
      <c r="H35" t="n">
        <v>0</v>
      </c>
      <c r="I35" t="n">
        <v>240</v>
      </c>
      <c r="J35" t="n">
        <v>107</v>
      </c>
      <c r="K35" t="n">
        <v>94</v>
      </c>
      <c r="L35" t="n">
        <v>342</v>
      </c>
      <c r="M35" t="n">
        <v>90</v>
      </c>
      <c r="N35" t="n">
        <v>5425</v>
      </c>
      <c r="O35" t="n">
        <v>10</v>
      </c>
      <c r="P35" t="n">
        <v>2</v>
      </c>
      <c r="Q35" t="n">
        <v>2</v>
      </c>
      <c r="R35" t="n">
        <v>39</v>
      </c>
      <c r="S35" t="n">
        <v>74</v>
      </c>
      <c r="T35" t="n">
        <v>5</v>
      </c>
      <c r="U35" t="n">
        <v>0</v>
      </c>
    </row>
    <row r="36">
      <c r="A36" t="n">
        <v>5</v>
      </c>
      <c r="B36" t="n">
        <v>1</v>
      </c>
      <c r="C36" t="n">
        <v>70</v>
      </c>
      <c r="D36" t="n">
        <v>75</v>
      </c>
      <c r="E36" t="n">
        <v>4</v>
      </c>
      <c r="F36" t="n">
        <v>301</v>
      </c>
      <c r="G36" t="n">
        <v>375</v>
      </c>
      <c r="H36" t="n">
        <v>0</v>
      </c>
      <c r="I36" t="n">
        <v>375</v>
      </c>
      <c r="J36" t="n">
        <v>141</v>
      </c>
      <c r="K36" t="n">
        <v>130</v>
      </c>
      <c r="L36" t="n">
        <v>354</v>
      </c>
      <c r="M36" t="n">
        <v>79</v>
      </c>
      <c r="N36" t="n">
        <v>5438</v>
      </c>
      <c r="O36" t="n">
        <v>10</v>
      </c>
      <c r="P36" t="n">
        <v>2</v>
      </c>
      <c r="Q36" t="n">
        <v>2</v>
      </c>
      <c r="R36" t="n">
        <v>40</v>
      </c>
      <c r="S36" t="n">
        <v>75</v>
      </c>
      <c r="T36" t="n">
        <v>5</v>
      </c>
      <c r="U36" t="n">
        <v>0</v>
      </c>
    </row>
    <row r="37">
      <c r="A37" t="n">
        <v>5</v>
      </c>
      <c r="B37" t="n">
        <v>2</v>
      </c>
      <c r="C37" t="n">
        <v>72</v>
      </c>
      <c r="D37" t="n">
        <v>75</v>
      </c>
      <c r="E37" t="n">
        <v>4</v>
      </c>
      <c r="F37" t="n">
        <v>301</v>
      </c>
      <c r="G37" t="n">
        <v>499</v>
      </c>
      <c r="H37" t="n">
        <v>0</v>
      </c>
      <c r="I37" t="n">
        <v>499</v>
      </c>
      <c r="J37" t="n">
        <v>195</v>
      </c>
      <c r="K37" t="n">
        <v>166</v>
      </c>
      <c r="L37" t="n">
        <v>366</v>
      </c>
      <c r="M37" t="n">
        <v>88</v>
      </c>
      <c r="N37" t="n">
        <v>5514</v>
      </c>
      <c r="O37" t="n">
        <v>10</v>
      </c>
      <c r="P37" t="n">
        <v>2</v>
      </c>
      <c r="Q37" t="n">
        <v>2</v>
      </c>
      <c r="R37" t="n">
        <v>40</v>
      </c>
      <c r="S37" t="n">
        <v>75</v>
      </c>
      <c r="T37" t="n">
        <v>5</v>
      </c>
      <c r="U37" t="n">
        <v>0</v>
      </c>
    </row>
    <row r="38">
      <c r="A38" t="n">
        <v>5</v>
      </c>
      <c r="B38" t="n">
        <v>2</v>
      </c>
      <c r="C38" t="n">
        <v>73</v>
      </c>
      <c r="D38" t="n">
        <v>75</v>
      </c>
      <c r="E38" t="n">
        <v>4</v>
      </c>
      <c r="F38" t="n">
        <v>301</v>
      </c>
      <c r="G38" t="n">
        <v>224</v>
      </c>
      <c r="H38" t="n">
        <v>0</v>
      </c>
      <c r="I38" t="n">
        <v>224</v>
      </c>
      <c r="J38" t="n">
        <v>86</v>
      </c>
      <c r="K38" t="n">
        <v>85</v>
      </c>
      <c r="L38" t="n">
        <v>378</v>
      </c>
      <c r="M38" t="n">
        <v>86</v>
      </c>
      <c r="N38" t="n">
        <v>6385</v>
      </c>
      <c r="O38" t="n">
        <v>10</v>
      </c>
      <c r="P38" t="n">
        <v>2</v>
      </c>
      <c r="Q38" t="n">
        <v>2</v>
      </c>
      <c r="R38" t="n">
        <v>40</v>
      </c>
      <c r="S38" t="n">
        <v>75</v>
      </c>
      <c r="T38" t="n">
        <v>5</v>
      </c>
      <c r="U38" t="n">
        <v>0</v>
      </c>
    </row>
    <row r="39">
      <c r="A39" t="n">
        <v>5</v>
      </c>
      <c r="B39" t="n">
        <v>3</v>
      </c>
      <c r="C39" t="n">
        <v>75</v>
      </c>
      <c r="D39" t="n">
        <v>80</v>
      </c>
      <c r="E39" t="n">
        <v>4</v>
      </c>
      <c r="F39" t="n">
        <v>301</v>
      </c>
      <c r="G39" t="n">
        <v>291</v>
      </c>
      <c r="H39" t="n">
        <v>0</v>
      </c>
      <c r="I39" t="n">
        <v>291</v>
      </c>
      <c r="J39" t="n">
        <v>105</v>
      </c>
      <c r="K39" t="n">
        <v>99</v>
      </c>
      <c r="L39" t="n">
        <v>390</v>
      </c>
      <c r="M39" t="n">
        <v>84</v>
      </c>
      <c r="N39" t="n">
        <v>6574</v>
      </c>
      <c r="O39" t="n">
        <v>11</v>
      </c>
      <c r="P39" t="n">
        <v>2</v>
      </c>
      <c r="Q39" t="n">
        <v>2</v>
      </c>
      <c r="R39" t="n">
        <v>42</v>
      </c>
      <c r="S39" t="n">
        <v>75</v>
      </c>
      <c r="T39" t="n">
        <v>5</v>
      </c>
      <c r="U39" t="n">
        <v>0</v>
      </c>
    </row>
    <row r="40">
      <c r="A40" t="n">
        <v>5</v>
      </c>
      <c r="B40" t="n">
        <v>3</v>
      </c>
      <c r="C40" t="n">
        <v>77</v>
      </c>
      <c r="D40" t="n">
        <v>80</v>
      </c>
      <c r="E40" t="n">
        <v>4</v>
      </c>
      <c r="F40" t="n">
        <v>301</v>
      </c>
      <c r="G40" t="n">
        <v>233</v>
      </c>
      <c r="H40" t="n">
        <v>0</v>
      </c>
      <c r="I40" t="n">
        <v>233</v>
      </c>
      <c r="J40" t="n">
        <v>159</v>
      </c>
      <c r="K40" t="n">
        <v>135</v>
      </c>
      <c r="L40" t="n">
        <v>402</v>
      </c>
      <c r="M40" t="n">
        <v>93</v>
      </c>
      <c r="N40" t="n">
        <v>6657</v>
      </c>
      <c r="O40" t="n">
        <v>11</v>
      </c>
      <c r="P40" t="n">
        <v>2</v>
      </c>
      <c r="Q40" t="n">
        <v>2</v>
      </c>
      <c r="R40" t="n">
        <v>42</v>
      </c>
      <c r="S40" t="n">
        <v>75</v>
      </c>
      <c r="T40" t="n">
        <v>5</v>
      </c>
      <c r="U40" t="n">
        <v>0</v>
      </c>
    </row>
    <row r="41">
      <c r="A41" t="n">
        <v>6</v>
      </c>
      <c r="B41" t="n">
        <v>0</v>
      </c>
      <c r="C41" t="n">
        <v>79</v>
      </c>
      <c r="D41" t="n">
        <v>85</v>
      </c>
      <c r="E41" t="n">
        <v>4</v>
      </c>
      <c r="F41" t="n">
        <v>301</v>
      </c>
      <c r="G41" t="n">
        <v>173</v>
      </c>
      <c r="H41" t="n">
        <v>0</v>
      </c>
      <c r="I41" t="n">
        <v>173</v>
      </c>
      <c r="J41" t="n">
        <v>82</v>
      </c>
      <c r="K41" t="n">
        <v>80</v>
      </c>
      <c r="L41" t="n">
        <v>414</v>
      </c>
      <c r="M41" t="n">
        <v>86</v>
      </c>
      <c r="N41" t="n">
        <v>7537</v>
      </c>
      <c r="O41" t="n">
        <v>11</v>
      </c>
      <c r="P41" t="n">
        <v>2</v>
      </c>
      <c r="Q41" t="n">
        <v>2</v>
      </c>
      <c r="R41" t="n">
        <v>43</v>
      </c>
      <c r="S41" t="n">
        <v>72</v>
      </c>
      <c r="T41" t="n">
        <v>5</v>
      </c>
      <c r="U41" t="n">
        <v>0</v>
      </c>
    </row>
    <row r="42">
      <c r="A42" t="n">
        <v>6</v>
      </c>
      <c r="B42" t="n">
        <v>0</v>
      </c>
      <c r="C42" t="n">
        <v>81</v>
      </c>
      <c r="D42" t="n">
        <v>85</v>
      </c>
      <c r="E42" t="n">
        <v>4</v>
      </c>
      <c r="F42" t="n">
        <v>301</v>
      </c>
      <c r="G42" t="n">
        <v>292</v>
      </c>
      <c r="H42" t="n">
        <v>0</v>
      </c>
      <c r="I42" t="n">
        <v>292</v>
      </c>
      <c r="J42" t="n">
        <v>103</v>
      </c>
      <c r="K42" t="n">
        <v>94</v>
      </c>
      <c r="L42" t="n">
        <v>426</v>
      </c>
      <c r="M42" t="n">
        <v>84</v>
      </c>
      <c r="N42" t="n">
        <v>7840</v>
      </c>
      <c r="O42" t="n">
        <v>11</v>
      </c>
      <c r="P42" t="n">
        <v>2</v>
      </c>
      <c r="Q42" t="n">
        <v>2</v>
      </c>
      <c r="R42" t="n">
        <v>43</v>
      </c>
      <c r="S42" t="n">
        <v>73</v>
      </c>
      <c r="T42" t="n">
        <v>6</v>
      </c>
      <c r="U42" t="n">
        <v>0</v>
      </c>
    </row>
    <row r="43">
      <c r="A43" t="n">
        <v>6</v>
      </c>
      <c r="B43" t="n">
        <v>1</v>
      </c>
      <c r="C43" t="n">
        <v>83</v>
      </c>
      <c r="D43" t="n">
        <v>85</v>
      </c>
      <c r="E43" t="n">
        <v>2</v>
      </c>
      <c r="F43" t="n">
        <v>301</v>
      </c>
      <c r="G43" t="n">
        <v>448</v>
      </c>
      <c r="H43" t="n">
        <v>0</v>
      </c>
      <c r="I43" t="n">
        <v>448</v>
      </c>
      <c r="J43" t="n">
        <v>142</v>
      </c>
      <c r="K43" t="n">
        <v>130</v>
      </c>
      <c r="L43" t="n">
        <v>438</v>
      </c>
      <c r="M43" t="n">
        <v>83</v>
      </c>
      <c r="N43" t="n">
        <v>7897</v>
      </c>
      <c r="O43" t="n">
        <v>12</v>
      </c>
      <c r="P43" t="n">
        <v>2</v>
      </c>
      <c r="Q43" t="n">
        <v>2</v>
      </c>
      <c r="R43" t="n">
        <v>44</v>
      </c>
      <c r="S43" t="n">
        <v>74</v>
      </c>
      <c r="T43" t="n">
        <v>6</v>
      </c>
      <c r="U43" t="n">
        <v>0</v>
      </c>
    </row>
    <row r="44">
      <c r="A44" t="n">
        <v>6</v>
      </c>
      <c r="B44" t="n">
        <v>1</v>
      </c>
      <c r="C44" t="n">
        <v>85</v>
      </c>
      <c r="D44" t="n">
        <v>90</v>
      </c>
      <c r="E44" t="n">
        <v>4</v>
      </c>
      <c r="F44" t="n">
        <v>301</v>
      </c>
      <c r="G44" t="n">
        <v>600</v>
      </c>
      <c r="H44" t="n">
        <v>0</v>
      </c>
      <c r="I44" t="n">
        <v>600</v>
      </c>
      <c r="J44" t="n">
        <v>176</v>
      </c>
      <c r="K44" t="n">
        <v>166</v>
      </c>
      <c r="L44" t="n">
        <v>450</v>
      </c>
      <c r="M44" t="n">
        <v>82</v>
      </c>
      <c r="N44" t="n">
        <v>7957</v>
      </c>
      <c r="O44" t="n">
        <v>12</v>
      </c>
      <c r="P44" t="n">
        <v>2</v>
      </c>
      <c r="Q44" t="n">
        <v>2</v>
      </c>
      <c r="R44" t="n">
        <v>45</v>
      </c>
      <c r="S44" t="n">
        <v>75</v>
      </c>
      <c r="T44" t="n">
        <v>6</v>
      </c>
      <c r="U44" t="n">
        <v>0</v>
      </c>
    </row>
    <row r="45">
      <c r="A45" t="n">
        <v>6</v>
      </c>
      <c r="B45" t="n">
        <v>2</v>
      </c>
      <c r="C45" t="n">
        <v>87</v>
      </c>
      <c r="D45" t="n">
        <v>90</v>
      </c>
      <c r="E45" t="n">
        <v>4</v>
      </c>
      <c r="F45" t="n">
        <v>301</v>
      </c>
      <c r="G45" t="n">
        <v>271</v>
      </c>
      <c r="H45" t="n">
        <v>0</v>
      </c>
      <c r="I45" t="n">
        <v>271</v>
      </c>
      <c r="J45" t="n">
        <v>91</v>
      </c>
      <c r="K45" t="n">
        <v>81</v>
      </c>
      <c r="L45" t="n">
        <v>462</v>
      </c>
      <c r="M45" t="n">
        <v>80</v>
      </c>
      <c r="N45" t="n">
        <v>8887</v>
      </c>
      <c r="O45" t="n">
        <v>12</v>
      </c>
      <c r="P45" t="n">
        <v>2</v>
      </c>
      <c r="Q45" t="n">
        <v>2</v>
      </c>
      <c r="R45" t="n">
        <v>45</v>
      </c>
      <c r="S45" t="n">
        <v>75</v>
      </c>
      <c r="T45" t="n">
        <v>6</v>
      </c>
      <c r="U45" t="n">
        <v>0</v>
      </c>
    </row>
    <row r="46">
      <c r="A46" t="n">
        <v>6</v>
      </c>
      <c r="B46" t="n">
        <v>2</v>
      </c>
      <c r="C46" t="n">
        <v>89</v>
      </c>
      <c r="D46" t="n">
        <v>95</v>
      </c>
      <c r="E46" t="n">
        <v>4</v>
      </c>
      <c r="F46" t="n">
        <v>301</v>
      </c>
      <c r="G46" t="n">
        <v>319</v>
      </c>
      <c r="H46" t="n">
        <v>0</v>
      </c>
      <c r="I46" t="n">
        <v>319</v>
      </c>
      <c r="J46" t="n">
        <v>81</v>
      </c>
      <c r="K46" t="n">
        <v>95</v>
      </c>
      <c r="L46" t="n">
        <v>474</v>
      </c>
      <c r="M46" t="n">
        <v>89</v>
      </c>
      <c r="N46" t="n">
        <v>9058</v>
      </c>
      <c r="O46" t="n">
        <v>12</v>
      </c>
      <c r="P46" t="n">
        <v>2</v>
      </c>
      <c r="Q46" t="n">
        <v>2</v>
      </c>
      <c r="R46" t="n">
        <v>46</v>
      </c>
      <c r="S46" t="n">
        <v>75</v>
      </c>
      <c r="T46" t="n">
        <v>6</v>
      </c>
      <c r="U46" t="n">
        <v>0</v>
      </c>
    </row>
    <row r="47">
      <c r="A47" t="n">
        <v>6</v>
      </c>
      <c r="B47" t="n">
        <v>3</v>
      </c>
      <c r="C47" t="n">
        <v>91</v>
      </c>
      <c r="D47" t="n">
        <v>95</v>
      </c>
      <c r="E47" t="n">
        <v>4</v>
      </c>
      <c r="F47" t="n">
        <v>301</v>
      </c>
      <c r="G47" t="n">
        <v>471</v>
      </c>
      <c r="H47" t="n">
        <v>0</v>
      </c>
      <c r="I47" t="n">
        <v>471</v>
      </c>
      <c r="J47" t="n">
        <v>120</v>
      </c>
      <c r="K47" t="n">
        <v>131</v>
      </c>
      <c r="L47" t="n">
        <v>486</v>
      </c>
      <c r="M47" t="n">
        <v>98</v>
      </c>
      <c r="N47" t="n">
        <v>9155</v>
      </c>
      <c r="O47" t="n">
        <v>13</v>
      </c>
      <c r="P47" t="n">
        <v>2</v>
      </c>
      <c r="Q47" t="n">
        <v>2</v>
      </c>
      <c r="R47" t="n">
        <v>47</v>
      </c>
      <c r="S47" t="n">
        <v>75</v>
      </c>
      <c r="T47" t="n">
        <v>7</v>
      </c>
      <c r="U47" t="n">
        <v>0</v>
      </c>
    </row>
    <row r="48">
      <c r="A48" t="n">
        <v>6</v>
      </c>
      <c r="B48" t="n">
        <v>3</v>
      </c>
      <c r="C48" t="n">
        <v>93</v>
      </c>
      <c r="D48" t="n">
        <v>95</v>
      </c>
      <c r="E48" t="n">
        <v>1</v>
      </c>
      <c r="F48" t="n">
        <v>301</v>
      </c>
      <c r="G48" t="n">
        <v>258</v>
      </c>
      <c r="H48" t="n">
        <v>0</v>
      </c>
      <c r="I48" t="n">
        <v>258</v>
      </c>
      <c r="J48" t="n">
        <v>87</v>
      </c>
      <c r="K48" t="n">
        <v>81</v>
      </c>
      <c r="L48" t="n">
        <v>498</v>
      </c>
      <c r="M48" t="n">
        <v>78</v>
      </c>
      <c r="N48" t="n">
        <v>10113</v>
      </c>
      <c r="O48" t="n">
        <v>13</v>
      </c>
      <c r="P48" t="n">
        <v>2</v>
      </c>
      <c r="Q48" t="n">
        <v>2</v>
      </c>
      <c r="R48" t="n">
        <v>47</v>
      </c>
      <c r="S48" t="n">
        <v>73</v>
      </c>
      <c r="T48" t="n">
        <v>7</v>
      </c>
      <c r="U48" t="n">
        <v>0</v>
      </c>
    </row>
    <row r="49">
      <c r="A49" t="n">
        <v>7</v>
      </c>
      <c r="B49" t="n">
        <v>0</v>
      </c>
      <c r="C49" t="n">
        <v>95</v>
      </c>
      <c r="D49" t="n">
        <v>100</v>
      </c>
      <c r="E49" t="n">
        <v>4</v>
      </c>
      <c r="F49" t="n">
        <v>301</v>
      </c>
      <c r="G49" t="n">
        <v>189</v>
      </c>
      <c r="H49" t="n">
        <v>0</v>
      </c>
      <c r="I49" t="n">
        <v>189</v>
      </c>
      <c r="J49" t="n">
        <v>88</v>
      </c>
      <c r="K49" t="n">
        <v>84</v>
      </c>
      <c r="L49" t="n">
        <v>510</v>
      </c>
      <c r="M49" t="n">
        <v>72</v>
      </c>
      <c r="N49" t="n">
        <v>10272</v>
      </c>
      <c r="O49" t="n">
        <v>13</v>
      </c>
      <c r="P49" t="n">
        <v>2</v>
      </c>
      <c r="Q49" t="n">
        <v>2</v>
      </c>
      <c r="R49" t="n">
        <v>48</v>
      </c>
      <c r="S49" t="n">
        <v>71</v>
      </c>
      <c r="T49" t="n">
        <v>7</v>
      </c>
      <c r="U49" t="n">
        <v>0</v>
      </c>
    </row>
    <row r="50">
      <c r="A50" t="n">
        <v>7</v>
      </c>
      <c r="B50" t="n">
        <v>0</v>
      </c>
      <c r="C50" t="n">
        <v>97</v>
      </c>
      <c r="D50" t="n">
        <v>100</v>
      </c>
      <c r="E50" t="n">
        <v>4</v>
      </c>
      <c r="F50" t="n">
        <v>301</v>
      </c>
      <c r="G50" t="n">
        <v>342</v>
      </c>
      <c r="H50" t="n">
        <v>0</v>
      </c>
      <c r="I50" t="n">
        <v>342</v>
      </c>
      <c r="J50" t="n">
        <v>142</v>
      </c>
      <c r="K50" t="n">
        <v>120</v>
      </c>
      <c r="L50" t="n">
        <v>522</v>
      </c>
      <c r="M50" t="n">
        <v>81</v>
      </c>
      <c r="N50" t="n">
        <v>10369</v>
      </c>
      <c r="O50" t="n">
        <v>13</v>
      </c>
      <c r="P50" t="n">
        <v>2</v>
      </c>
      <c r="Q50" t="n">
        <v>2</v>
      </c>
      <c r="R50" t="n">
        <v>48</v>
      </c>
      <c r="S50" t="n">
        <v>72</v>
      </c>
      <c r="T50" t="n">
        <v>7</v>
      </c>
      <c r="U50" t="n">
        <v>0</v>
      </c>
    </row>
    <row r="51">
      <c r="A51" t="n">
        <v>7</v>
      </c>
      <c r="B51" t="n">
        <v>1</v>
      </c>
      <c r="C51" t="n">
        <v>99</v>
      </c>
      <c r="D51" t="n">
        <v>100</v>
      </c>
      <c r="E51" t="n">
        <v>4</v>
      </c>
      <c r="F51" t="n">
        <v>301</v>
      </c>
      <c r="G51" t="n">
        <v>297</v>
      </c>
      <c r="H51" t="n">
        <v>0</v>
      </c>
      <c r="I51" t="n">
        <v>297</v>
      </c>
      <c r="J51" t="n">
        <v>83</v>
      </c>
      <c r="K51" t="n">
        <v>82</v>
      </c>
      <c r="L51" t="n">
        <v>534</v>
      </c>
      <c r="M51" t="n">
        <v>90</v>
      </c>
      <c r="N51" t="n">
        <v>10959</v>
      </c>
      <c r="O51" t="n">
        <v>14</v>
      </c>
      <c r="P51" t="n">
        <v>2</v>
      </c>
      <c r="Q51" t="n">
        <v>2</v>
      </c>
      <c r="R51" t="n">
        <v>49</v>
      </c>
      <c r="S51" t="n">
        <v>74</v>
      </c>
      <c r="T51" t="n">
        <v>7</v>
      </c>
      <c r="U51" t="n">
        <v>0</v>
      </c>
    </row>
    <row r="52">
      <c r="A52" t="n">
        <v>7</v>
      </c>
      <c r="B52" t="n">
        <v>1</v>
      </c>
      <c r="C52" t="n">
        <v>100</v>
      </c>
      <c r="D52" t="n">
        <v>105</v>
      </c>
      <c r="E52" t="n">
        <v>4</v>
      </c>
      <c r="F52" t="n">
        <v>301</v>
      </c>
      <c r="G52" t="n">
        <v>309</v>
      </c>
      <c r="H52" t="n">
        <v>0</v>
      </c>
      <c r="I52" t="n">
        <v>309</v>
      </c>
      <c r="J52" t="n">
        <v>84</v>
      </c>
      <c r="K52" t="n">
        <v>85</v>
      </c>
      <c r="L52" t="n">
        <v>546</v>
      </c>
      <c r="M52" t="n">
        <v>88</v>
      </c>
      <c r="N52" t="n">
        <v>11257</v>
      </c>
      <c r="O52" t="n">
        <v>14</v>
      </c>
      <c r="P52" t="n">
        <v>2</v>
      </c>
      <c r="Q52" t="n">
        <v>2</v>
      </c>
      <c r="R52" t="n">
        <v>50</v>
      </c>
      <c r="S52" t="n">
        <v>75</v>
      </c>
      <c r="T52" t="n">
        <v>7</v>
      </c>
      <c r="U52" t="n">
        <v>0</v>
      </c>
    </row>
    <row r="53">
      <c r="A53" t="n">
        <v>7</v>
      </c>
      <c r="B53" t="n">
        <v>2</v>
      </c>
      <c r="C53" t="n">
        <v>102</v>
      </c>
      <c r="D53" t="n">
        <v>105</v>
      </c>
      <c r="E53" t="n">
        <v>4</v>
      </c>
      <c r="F53" t="n">
        <v>301</v>
      </c>
      <c r="G53" t="n">
        <v>433</v>
      </c>
      <c r="H53" t="n">
        <v>0</v>
      </c>
      <c r="I53" t="n">
        <v>433</v>
      </c>
      <c r="J53" t="n">
        <v>127</v>
      </c>
      <c r="K53" t="n">
        <v>110</v>
      </c>
      <c r="L53" t="n">
        <v>558</v>
      </c>
      <c r="M53" t="n">
        <v>97</v>
      </c>
      <c r="N53" t="n">
        <v>11393</v>
      </c>
      <c r="O53" t="n">
        <v>14</v>
      </c>
      <c r="P53" t="n">
        <v>2</v>
      </c>
      <c r="Q53" t="n">
        <v>2</v>
      </c>
      <c r="R53" t="n">
        <v>50</v>
      </c>
      <c r="S53" t="n">
        <v>75</v>
      </c>
      <c r="T53" t="n">
        <v>7</v>
      </c>
      <c r="U53" t="n">
        <v>0</v>
      </c>
    </row>
    <row r="54">
      <c r="A54" t="n">
        <v>7</v>
      </c>
      <c r="B54" t="n">
        <v>2</v>
      </c>
      <c r="C54" t="n">
        <v>104</v>
      </c>
      <c r="D54" t="n">
        <v>110</v>
      </c>
      <c r="E54" t="n">
        <v>4</v>
      </c>
      <c r="F54" t="n">
        <v>301</v>
      </c>
      <c r="G54" t="n">
        <v>598</v>
      </c>
      <c r="H54" t="n">
        <v>0</v>
      </c>
      <c r="I54" t="n">
        <v>598</v>
      </c>
      <c r="J54" t="n">
        <v>161</v>
      </c>
      <c r="K54" t="n">
        <v>146</v>
      </c>
      <c r="L54" t="n">
        <v>570</v>
      </c>
      <c r="M54" t="n">
        <v>106</v>
      </c>
      <c r="N54" t="n">
        <v>11504</v>
      </c>
      <c r="O54" t="n">
        <v>14</v>
      </c>
      <c r="P54" t="n">
        <v>2</v>
      </c>
      <c r="Q54" t="n">
        <v>2</v>
      </c>
      <c r="R54" t="n">
        <v>51</v>
      </c>
      <c r="S54" t="n">
        <v>75</v>
      </c>
      <c r="T54" t="n">
        <v>8</v>
      </c>
      <c r="U54" t="n">
        <v>0</v>
      </c>
    </row>
    <row r="55">
      <c r="A55" t="n">
        <v>7</v>
      </c>
      <c r="B55" t="n">
        <v>3</v>
      </c>
      <c r="C55" t="n">
        <v>106</v>
      </c>
      <c r="D55" t="n">
        <v>110</v>
      </c>
      <c r="E55" t="n">
        <v>4</v>
      </c>
      <c r="F55" t="n">
        <v>301</v>
      </c>
      <c r="G55" t="n">
        <v>327</v>
      </c>
      <c r="H55" t="n">
        <v>0</v>
      </c>
      <c r="I55" t="n">
        <v>327</v>
      </c>
      <c r="J55" t="n">
        <v>89</v>
      </c>
      <c r="K55" t="n">
        <v>90</v>
      </c>
      <c r="L55" t="n">
        <v>582</v>
      </c>
      <c r="M55" t="n">
        <v>70</v>
      </c>
      <c r="N55" t="n">
        <v>12274</v>
      </c>
      <c r="O55" t="n">
        <v>15</v>
      </c>
      <c r="P55" t="n">
        <v>2</v>
      </c>
      <c r="Q55" t="n">
        <v>2</v>
      </c>
      <c r="R55" t="n">
        <v>52</v>
      </c>
      <c r="S55" t="n">
        <v>75</v>
      </c>
      <c r="T55" t="n">
        <v>8</v>
      </c>
      <c r="U55" t="n">
        <v>0</v>
      </c>
    </row>
    <row r="56">
      <c r="A56" t="n">
        <v>7</v>
      </c>
      <c r="B56" t="n">
        <v>3</v>
      </c>
      <c r="C56" t="n">
        <v>108</v>
      </c>
      <c r="D56" t="n">
        <v>110</v>
      </c>
      <c r="E56" t="n">
        <v>4</v>
      </c>
      <c r="F56" t="n">
        <v>301</v>
      </c>
      <c r="G56" t="n">
        <v>242</v>
      </c>
      <c r="H56" t="n">
        <v>0</v>
      </c>
      <c r="I56" t="n">
        <v>242</v>
      </c>
      <c r="J56" t="n">
        <v>99</v>
      </c>
      <c r="K56" t="n">
        <v>93</v>
      </c>
      <c r="L56" t="n">
        <v>594</v>
      </c>
      <c r="M56" t="n">
        <v>79</v>
      </c>
      <c r="N56" t="n">
        <v>12452</v>
      </c>
      <c r="O56" t="n">
        <v>15</v>
      </c>
      <c r="P56" t="n">
        <v>2</v>
      </c>
      <c r="Q56" t="n">
        <v>2</v>
      </c>
      <c r="R56" t="n">
        <v>52</v>
      </c>
      <c r="S56" t="n">
        <v>72</v>
      </c>
      <c r="T56" t="n">
        <v>8</v>
      </c>
      <c r="U56" t="n">
        <v>0</v>
      </c>
    </row>
    <row r="57">
      <c r="A57" t="n">
        <v>8</v>
      </c>
      <c r="B57" t="n">
        <v>0</v>
      </c>
      <c r="C57" t="n">
        <v>110</v>
      </c>
      <c r="D57" t="n">
        <v>115</v>
      </c>
      <c r="E57" t="n">
        <v>4</v>
      </c>
      <c r="F57" t="n">
        <v>301</v>
      </c>
      <c r="G57" t="n">
        <v>157</v>
      </c>
      <c r="H57" t="n">
        <v>0</v>
      </c>
      <c r="I57" t="n">
        <v>157</v>
      </c>
      <c r="J57" t="n">
        <v>133</v>
      </c>
      <c r="K57" t="n">
        <v>129</v>
      </c>
      <c r="L57" t="n">
        <v>606</v>
      </c>
      <c r="M57" t="n">
        <v>88</v>
      </c>
      <c r="N57" t="n">
        <v>12563</v>
      </c>
      <c r="O57" t="n">
        <v>15</v>
      </c>
      <c r="P57" t="n">
        <v>2</v>
      </c>
      <c r="Q57" t="n">
        <v>2</v>
      </c>
      <c r="R57" t="n">
        <v>53</v>
      </c>
      <c r="S57" t="n">
        <v>70</v>
      </c>
      <c r="T57" t="n">
        <v>8</v>
      </c>
      <c r="U57" t="n">
        <v>0</v>
      </c>
    </row>
    <row r="58">
      <c r="A58" t="n">
        <v>8</v>
      </c>
      <c r="B58" t="n">
        <v>0</v>
      </c>
      <c r="C58" t="n">
        <v>112</v>
      </c>
      <c r="D58" t="n">
        <v>115</v>
      </c>
      <c r="E58" t="n">
        <v>4</v>
      </c>
      <c r="F58" t="n">
        <v>301</v>
      </c>
      <c r="G58" t="n">
        <v>334</v>
      </c>
      <c r="H58" t="n">
        <v>0</v>
      </c>
      <c r="I58" t="n">
        <v>334</v>
      </c>
      <c r="J58" t="n">
        <v>88</v>
      </c>
      <c r="K58" t="n">
        <v>81</v>
      </c>
      <c r="L58" t="n">
        <v>618</v>
      </c>
      <c r="M58" t="n">
        <v>83</v>
      </c>
      <c r="N58" t="n">
        <v>13377</v>
      </c>
      <c r="O58" t="n">
        <v>15</v>
      </c>
      <c r="P58" t="n">
        <v>2</v>
      </c>
      <c r="Q58" t="n">
        <v>2</v>
      </c>
      <c r="R58" t="n">
        <v>53</v>
      </c>
      <c r="S58" t="n">
        <v>70</v>
      </c>
      <c r="T58" t="n">
        <v>8</v>
      </c>
      <c r="U58" t="n">
        <v>0</v>
      </c>
    </row>
    <row r="59">
      <c r="A59" t="n">
        <v>8</v>
      </c>
      <c r="B59" t="n">
        <v>1</v>
      </c>
      <c r="C59" t="n">
        <v>114</v>
      </c>
      <c r="D59" t="n">
        <v>115</v>
      </c>
      <c r="E59" t="n">
        <v>4</v>
      </c>
      <c r="F59" t="n">
        <v>301</v>
      </c>
      <c r="G59" t="n">
        <v>360</v>
      </c>
      <c r="H59" t="n">
        <v>0</v>
      </c>
      <c r="I59" t="n">
        <v>360</v>
      </c>
      <c r="J59" t="n">
        <v>83</v>
      </c>
      <c r="K59" t="n">
        <v>84</v>
      </c>
      <c r="L59" t="n">
        <v>630</v>
      </c>
      <c r="M59" t="n">
        <v>81</v>
      </c>
      <c r="N59" t="n">
        <v>13822</v>
      </c>
      <c r="O59" t="n">
        <v>16</v>
      </c>
      <c r="P59" t="n">
        <v>2</v>
      </c>
      <c r="Q59" t="n">
        <v>2</v>
      </c>
      <c r="R59" t="n">
        <v>54</v>
      </c>
      <c r="S59" t="n">
        <v>74</v>
      </c>
      <c r="T59" t="n">
        <v>9</v>
      </c>
      <c r="U59" t="n">
        <v>0</v>
      </c>
    </row>
    <row r="60">
      <c r="A60" t="n">
        <v>8</v>
      </c>
      <c r="B60" t="n">
        <v>1</v>
      </c>
      <c r="C60" t="n">
        <v>116</v>
      </c>
      <c r="D60" t="n">
        <v>120</v>
      </c>
      <c r="E60" t="n">
        <v>0</v>
      </c>
      <c r="F60" t="n">
        <v>301</v>
      </c>
      <c r="G60" t="n">
        <v>559</v>
      </c>
      <c r="H60" t="n">
        <v>0</v>
      </c>
      <c r="I60" t="n">
        <v>559</v>
      </c>
      <c r="J60" t="n">
        <v>117</v>
      </c>
      <c r="K60" t="n">
        <v>120</v>
      </c>
      <c r="L60" t="n">
        <v>642</v>
      </c>
      <c r="M60" t="n">
        <v>90</v>
      </c>
      <c r="N60" t="n">
        <v>13945</v>
      </c>
      <c r="O60" t="n">
        <v>16</v>
      </c>
      <c r="P60" t="n">
        <v>2</v>
      </c>
      <c r="Q60" t="n">
        <v>2</v>
      </c>
      <c r="R60" t="n">
        <v>55</v>
      </c>
      <c r="S60" t="n">
        <v>75</v>
      </c>
      <c r="T60" t="n">
        <v>9</v>
      </c>
      <c r="U60" t="n">
        <v>0</v>
      </c>
    </row>
    <row r="61">
      <c r="A61" t="n">
        <v>8</v>
      </c>
      <c r="B61" t="n">
        <v>2</v>
      </c>
      <c r="C61" t="n">
        <v>117</v>
      </c>
      <c r="D61" t="n">
        <v>120</v>
      </c>
      <c r="E61" t="n">
        <v>4</v>
      </c>
      <c r="F61" t="n">
        <v>301</v>
      </c>
      <c r="G61" t="n">
        <v>358</v>
      </c>
      <c r="H61" t="n">
        <v>0</v>
      </c>
      <c r="I61" t="n">
        <v>358</v>
      </c>
      <c r="J61" t="n">
        <v>88</v>
      </c>
      <c r="K61" t="n">
        <v>81</v>
      </c>
      <c r="L61" t="n">
        <v>654</v>
      </c>
      <c r="M61" t="n">
        <v>79</v>
      </c>
      <c r="N61" t="n">
        <v>14488</v>
      </c>
      <c r="O61" t="n">
        <v>16</v>
      </c>
      <c r="P61" t="n">
        <v>2</v>
      </c>
      <c r="Q61" t="n">
        <v>2</v>
      </c>
      <c r="R61" t="n">
        <v>55</v>
      </c>
      <c r="S61" t="n">
        <v>75</v>
      </c>
      <c r="T61" t="n">
        <v>9</v>
      </c>
      <c r="U61" t="n">
        <v>0</v>
      </c>
    </row>
    <row r="62">
      <c r="A62" t="n">
        <v>8</v>
      </c>
      <c r="B62" t="n">
        <v>2</v>
      </c>
      <c r="C62" t="n">
        <v>119</v>
      </c>
      <c r="D62" t="n">
        <v>125</v>
      </c>
      <c r="E62" t="n">
        <v>4</v>
      </c>
      <c r="F62" t="n">
        <v>301</v>
      </c>
      <c r="G62" t="n">
        <v>370</v>
      </c>
      <c r="H62" t="n">
        <v>0</v>
      </c>
      <c r="I62" t="n">
        <v>370</v>
      </c>
      <c r="J62" t="n">
        <v>89</v>
      </c>
      <c r="K62" t="n">
        <v>84</v>
      </c>
      <c r="L62" t="n">
        <v>666</v>
      </c>
      <c r="M62" t="n">
        <v>88</v>
      </c>
      <c r="N62" t="n">
        <v>14714</v>
      </c>
      <c r="O62" t="n">
        <v>16</v>
      </c>
      <c r="P62" t="n">
        <v>2</v>
      </c>
      <c r="Q62" t="n">
        <v>2</v>
      </c>
      <c r="R62" t="n">
        <v>56</v>
      </c>
      <c r="S62" t="n">
        <v>75</v>
      </c>
      <c r="T62" t="n">
        <v>9</v>
      </c>
      <c r="U62" t="n">
        <v>0</v>
      </c>
    </row>
    <row r="63">
      <c r="A63" t="n">
        <v>8</v>
      </c>
      <c r="B63" t="n">
        <v>3</v>
      </c>
      <c r="C63" t="n">
        <v>121</v>
      </c>
      <c r="D63" t="n">
        <v>125</v>
      </c>
      <c r="E63" t="n">
        <v>4</v>
      </c>
      <c r="F63" t="n">
        <v>301</v>
      </c>
      <c r="G63" t="n">
        <v>559</v>
      </c>
      <c r="H63" t="n">
        <v>0</v>
      </c>
      <c r="I63" t="n">
        <v>559</v>
      </c>
      <c r="J63" t="n">
        <v>128</v>
      </c>
      <c r="K63" t="n">
        <v>120</v>
      </c>
      <c r="L63" t="n">
        <v>678</v>
      </c>
      <c r="M63" t="n">
        <v>97</v>
      </c>
      <c r="N63" t="n">
        <v>14844</v>
      </c>
      <c r="O63" t="n">
        <v>17</v>
      </c>
      <c r="P63" t="n">
        <v>2</v>
      </c>
      <c r="Q63" t="n">
        <v>2</v>
      </c>
      <c r="R63" t="n">
        <v>57</v>
      </c>
      <c r="S63" t="n">
        <v>75</v>
      </c>
      <c r="T63" t="n">
        <v>9</v>
      </c>
      <c r="U63" t="n">
        <v>0</v>
      </c>
    </row>
    <row r="64">
      <c r="A64" t="n">
        <v>8</v>
      </c>
      <c r="B64" t="n">
        <v>3</v>
      </c>
      <c r="C64" t="n">
        <v>123</v>
      </c>
      <c r="D64" t="n">
        <v>125</v>
      </c>
      <c r="E64" t="n">
        <v>4</v>
      </c>
      <c r="F64" t="n">
        <v>301</v>
      </c>
      <c r="G64" t="n">
        <v>362</v>
      </c>
      <c r="H64" t="n">
        <v>0</v>
      </c>
      <c r="I64" t="n">
        <v>362</v>
      </c>
      <c r="J64" t="n">
        <v>87</v>
      </c>
      <c r="K64" t="n">
        <v>85</v>
      </c>
      <c r="L64" t="n">
        <v>690</v>
      </c>
      <c r="M64" t="n">
        <v>81</v>
      </c>
      <c r="N64" t="n">
        <v>15861</v>
      </c>
      <c r="O64" t="n">
        <v>17</v>
      </c>
      <c r="P64" t="n">
        <v>2</v>
      </c>
      <c r="Q64" t="n">
        <v>2</v>
      </c>
      <c r="R64" t="n">
        <v>57</v>
      </c>
      <c r="S64" t="n">
        <v>75</v>
      </c>
      <c r="T64" t="n">
        <v>9</v>
      </c>
      <c r="U64" t="n">
        <v>0</v>
      </c>
    </row>
    <row r="65">
      <c r="A65" t="n">
        <v>9</v>
      </c>
      <c r="B65" t="n">
        <v>0</v>
      </c>
      <c r="C65" t="n">
        <v>125</v>
      </c>
      <c r="D65" t="n">
        <v>130</v>
      </c>
      <c r="E65" t="n">
        <v>4</v>
      </c>
      <c r="F65" t="n">
        <v>301</v>
      </c>
      <c r="G65" t="n">
        <v>266</v>
      </c>
      <c r="H65" t="n">
        <v>0</v>
      </c>
      <c r="I65" t="n">
        <v>266</v>
      </c>
      <c r="J65" t="n">
        <v>88</v>
      </c>
      <c r="K65" t="n">
        <v>88</v>
      </c>
      <c r="L65" t="n">
        <v>702</v>
      </c>
      <c r="M65" t="n">
        <v>90</v>
      </c>
      <c r="N65" t="n">
        <v>16097</v>
      </c>
      <c r="O65" t="n">
        <v>17</v>
      </c>
      <c r="P65" t="n">
        <v>2</v>
      </c>
      <c r="Q65" t="n">
        <v>2</v>
      </c>
      <c r="R65" t="n">
        <v>58</v>
      </c>
      <c r="S65" t="n">
        <v>71</v>
      </c>
      <c r="T65" t="n">
        <v>10</v>
      </c>
      <c r="U65" t="n">
        <v>0</v>
      </c>
    </row>
    <row r="66">
      <c r="A66" t="n">
        <v>9</v>
      </c>
      <c r="B66" t="n">
        <v>0</v>
      </c>
      <c r="C66" t="n">
        <v>127</v>
      </c>
      <c r="D66" t="n">
        <v>130</v>
      </c>
      <c r="E66" t="n">
        <v>4</v>
      </c>
      <c r="F66" t="n">
        <v>301</v>
      </c>
      <c r="G66" t="n">
        <v>471</v>
      </c>
      <c r="H66" t="n">
        <v>0</v>
      </c>
      <c r="I66" t="n">
        <v>471</v>
      </c>
      <c r="J66" t="n">
        <v>131</v>
      </c>
      <c r="K66" t="n">
        <v>113</v>
      </c>
      <c r="L66" t="n">
        <v>714</v>
      </c>
      <c r="M66" t="n">
        <v>68</v>
      </c>
      <c r="N66" t="n">
        <v>16310</v>
      </c>
      <c r="O66" t="n">
        <v>17</v>
      </c>
      <c r="P66" t="n">
        <v>2</v>
      </c>
      <c r="Q66" t="n">
        <v>2</v>
      </c>
      <c r="R66" t="n">
        <v>58</v>
      </c>
      <c r="S66" t="n">
        <v>73</v>
      </c>
      <c r="T66" t="n">
        <v>10</v>
      </c>
      <c r="U66" t="n">
        <v>0</v>
      </c>
    </row>
    <row r="67">
      <c r="A67" t="n">
        <v>9</v>
      </c>
      <c r="B67" t="n">
        <v>1</v>
      </c>
      <c r="C67" t="n">
        <v>129</v>
      </c>
      <c r="D67" t="n">
        <v>130</v>
      </c>
      <c r="E67" t="n">
        <v>4</v>
      </c>
      <c r="F67" t="n">
        <v>301</v>
      </c>
      <c r="G67" t="n">
        <v>672</v>
      </c>
      <c r="H67" t="n">
        <v>0</v>
      </c>
      <c r="I67" t="n">
        <v>672</v>
      </c>
      <c r="J67" t="n">
        <v>170</v>
      </c>
      <c r="K67" t="n">
        <v>149</v>
      </c>
      <c r="L67" t="n">
        <v>726</v>
      </c>
      <c r="M67" t="n">
        <v>72</v>
      </c>
      <c r="N67" t="n">
        <v>16431</v>
      </c>
      <c r="O67" t="n">
        <v>18</v>
      </c>
      <c r="P67" t="n">
        <v>2</v>
      </c>
      <c r="Q67" t="n">
        <v>2</v>
      </c>
      <c r="R67" t="n">
        <v>59</v>
      </c>
      <c r="S67" t="n">
        <v>74</v>
      </c>
      <c r="T67" t="n">
        <v>10</v>
      </c>
      <c r="U67" t="n">
        <v>0</v>
      </c>
    </row>
    <row r="68">
      <c r="A68" t="n">
        <v>9</v>
      </c>
      <c r="B68" t="n">
        <v>1</v>
      </c>
      <c r="C68" t="n">
        <v>131</v>
      </c>
      <c r="D68" t="n">
        <v>135</v>
      </c>
      <c r="E68" t="n">
        <v>4</v>
      </c>
      <c r="F68" t="n">
        <v>301</v>
      </c>
      <c r="G68" t="n">
        <v>404</v>
      </c>
      <c r="H68" t="n">
        <v>0</v>
      </c>
      <c r="I68" t="n">
        <v>404</v>
      </c>
      <c r="J68" t="n">
        <v>89</v>
      </c>
      <c r="K68" t="n">
        <v>90</v>
      </c>
      <c r="L68" t="n">
        <v>738</v>
      </c>
      <c r="M68" t="n">
        <v>81</v>
      </c>
      <c r="N68" t="n">
        <v>17170</v>
      </c>
      <c r="O68" t="n">
        <v>18</v>
      </c>
      <c r="P68" t="n">
        <v>2</v>
      </c>
      <c r="Q68" t="n">
        <v>2</v>
      </c>
      <c r="R68" t="n">
        <v>60</v>
      </c>
      <c r="S68" t="n">
        <v>75</v>
      </c>
      <c r="T68" t="n">
        <v>10</v>
      </c>
      <c r="U68" t="n">
        <v>0</v>
      </c>
    </row>
    <row r="69">
      <c r="A69" t="n">
        <v>9</v>
      </c>
      <c r="B69" t="n">
        <v>2</v>
      </c>
      <c r="C69" t="n">
        <v>133</v>
      </c>
      <c r="D69" t="n">
        <v>135</v>
      </c>
      <c r="E69" t="n">
        <v>4</v>
      </c>
      <c r="F69" t="n">
        <v>301</v>
      </c>
      <c r="G69" t="n">
        <v>457</v>
      </c>
      <c r="H69" t="n">
        <v>0</v>
      </c>
      <c r="I69" t="n">
        <v>457</v>
      </c>
      <c r="J69" t="n">
        <v>99</v>
      </c>
      <c r="K69" t="n">
        <v>93</v>
      </c>
      <c r="L69" t="n">
        <v>750</v>
      </c>
      <c r="M69" t="n">
        <v>90</v>
      </c>
      <c r="N69" t="n">
        <v>17395</v>
      </c>
      <c r="O69" t="n">
        <v>18</v>
      </c>
      <c r="P69" t="n">
        <v>2</v>
      </c>
      <c r="Q69" t="n">
        <v>2</v>
      </c>
      <c r="R69" t="n">
        <v>60</v>
      </c>
      <c r="S69" t="n">
        <v>75</v>
      </c>
      <c r="T69" t="n">
        <v>10</v>
      </c>
      <c r="U69" t="n">
        <v>0</v>
      </c>
    </row>
    <row r="70">
      <c r="A70" t="n">
        <v>9</v>
      </c>
      <c r="B70" t="n">
        <v>2</v>
      </c>
      <c r="C70" t="n">
        <v>135</v>
      </c>
      <c r="D70" t="n">
        <v>140</v>
      </c>
      <c r="E70" t="n">
        <v>4</v>
      </c>
      <c r="F70" t="n">
        <v>301</v>
      </c>
      <c r="G70" t="n">
        <v>669</v>
      </c>
      <c r="H70" t="n">
        <v>0</v>
      </c>
      <c r="I70" t="n">
        <v>669</v>
      </c>
      <c r="J70" t="n">
        <v>133</v>
      </c>
      <c r="K70" t="n">
        <v>129</v>
      </c>
      <c r="L70" t="n">
        <v>762</v>
      </c>
      <c r="M70" t="n">
        <v>99</v>
      </c>
      <c r="N70" t="n">
        <v>17539</v>
      </c>
      <c r="O70" t="n">
        <v>18</v>
      </c>
      <c r="P70" t="n">
        <v>2</v>
      </c>
      <c r="Q70" t="n">
        <v>2</v>
      </c>
      <c r="R70" t="n">
        <v>61</v>
      </c>
      <c r="S70" t="n">
        <v>75</v>
      </c>
      <c r="T70" t="n">
        <v>10</v>
      </c>
      <c r="U70" t="n">
        <v>0</v>
      </c>
    </row>
    <row r="71">
      <c r="A71" t="n">
        <v>9</v>
      </c>
      <c r="B71" t="n">
        <v>3</v>
      </c>
      <c r="C71" t="n">
        <v>137</v>
      </c>
      <c r="D71" t="n">
        <v>140</v>
      </c>
      <c r="E71" t="n">
        <v>4</v>
      </c>
      <c r="F71" t="n">
        <v>301</v>
      </c>
      <c r="G71" t="n">
        <v>409</v>
      </c>
      <c r="H71" t="n">
        <v>0</v>
      </c>
      <c r="I71" t="n">
        <v>409</v>
      </c>
      <c r="J71" t="n">
        <v>91</v>
      </c>
      <c r="K71" t="n">
        <v>84</v>
      </c>
      <c r="L71" t="n">
        <v>774</v>
      </c>
      <c r="M71" t="n">
        <v>84</v>
      </c>
      <c r="N71" t="n">
        <v>18503</v>
      </c>
      <c r="O71" t="n">
        <v>19</v>
      </c>
      <c r="P71" t="n">
        <v>2</v>
      </c>
      <c r="Q71" t="n">
        <v>2</v>
      </c>
      <c r="R71" t="n">
        <v>62</v>
      </c>
      <c r="S71" t="n">
        <v>75</v>
      </c>
      <c r="T71" t="n">
        <v>10</v>
      </c>
      <c r="U71" t="n">
        <v>0</v>
      </c>
    </row>
    <row r="72">
      <c r="A72" t="n">
        <v>9</v>
      </c>
      <c r="B72" t="n">
        <v>3</v>
      </c>
      <c r="C72" t="n">
        <v>139</v>
      </c>
      <c r="D72" t="n">
        <v>140</v>
      </c>
      <c r="E72" t="n">
        <v>4</v>
      </c>
      <c r="F72" t="n">
        <v>301</v>
      </c>
      <c r="G72" t="n">
        <v>300</v>
      </c>
      <c r="H72" t="n">
        <v>0</v>
      </c>
      <c r="I72" t="n">
        <v>300</v>
      </c>
      <c r="J72" t="n">
        <v>90</v>
      </c>
      <c r="K72" t="n">
        <v>87</v>
      </c>
      <c r="L72" t="n">
        <v>786</v>
      </c>
      <c r="M72" t="n">
        <v>82</v>
      </c>
      <c r="N72" t="n">
        <v>18874</v>
      </c>
      <c r="O72" t="n">
        <v>19</v>
      </c>
      <c r="P72" t="n">
        <v>2</v>
      </c>
      <c r="Q72" t="n">
        <v>2</v>
      </c>
      <c r="R72" t="n">
        <v>62</v>
      </c>
      <c r="S72" t="n">
        <v>71</v>
      </c>
      <c r="T72" t="n">
        <v>11</v>
      </c>
      <c r="U72" t="n">
        <v>0</v>
      </c>
    </row>
    <row r="73">
      <c r="A73" t="n">
        <v>10</v>
      </c>
      <c r="B73" t="n">
        <v>0</v>
      </c>
      <c r="C73" t="n">
        <v>140</v>
      </c>
      <c r="D73" t="n">
        <v>145</v>
      </c>
      <c r="E73" t="n">
        <v>4</v>
      </c>
      <c r="F73" t="n">
        <v>301</v>
      </c>
      <c r="G73" t="n">
        <v>198</v>
      </c>
      <c r="H73" t="n">
        <v>0</v>
      </c>
      <c r="I73" t="n">
        <v>198</v>
      </c>
      <c r="J73" t="n">
        <v>124</v>
      </c>
      <c r="K73" t="n">
        <v>123</v>
      </c>
      <c r="L73" t="n">
        <v>798</v>
      </c>
      <c r="M73" t="n">
        <v>71</v>
      </c>
      <c r="N73" t="n">
        <v>18956</v>
      </c>
      <c r="O73" t="n">
        <v>19</v>
      </c>
      <c r="P73" t="n">
        <v>2</v>
      </c>
      <c r="Q73" t="n">
        <v>2</v>
      </c>
      <c r="R73" t="n">
        <v>63</v>
      </c>
      <c r="S73" t="n">
        <v>70</v>
      </c>
      <c r="T73" t="n">
        <v>11</v>
      </c>
      <c r="U73" t="n">
        <v>0</v>
      </c>
    </row>
    <row r="74">
      <c r="A74" t="n">
        <v>10</v>
      </c>
      <c r="B74" t="n">
        <v>0</v>
      </c>
      <c r="C74" t="n">
        <v>142</v>
      </c>
      <c r="D74" t="n">
        <v>145</v>
      </c>
      <c r="E74" t="n">
        <v>4</v>
      </c>
      <c r="F74" t="n">
        <v>301</v>
      </c>
      <c r="G74" t="n">
        <v>422</v>
      </c>
      <c r="H74" t="n">
        <v>0</v>
      </c>
      <c r="I74" t="n">
        <v>422</v>
      </c>
      <c r="J74" t="n">
        <v>178</v>
      </c>
      <c r="K74" t="n">
        <v>159</v>
      </c>
      <c r="L74" t="n">
        <v>810</v>
      </c>
      <c r="M74" t="n">
        <v>75</v>
      </c>
      <c r="N74" t="n">
        <v>19084</v>
      </c>
      <c r="O74" t="n">
        <v>19</v>
      </c>
      <c r="P74" t="n">
        <v>2</v>
      </c>
      <c r="Q74" t="n">
        <v>2</v>
      </c>
      <c r="R74" t="n">
        <v>63</v>
      </c>
      <c r="S74" t="n">
        <v>70</v>
      </c>
      <c r="T74" t="n">
        <v>11</v>
      </c>
      <c r="U74" t="n">
        <v>0</v>
      </c>
    </row>
    <row r="75">
      <c r="A75" t="n">
        <v>10</v>
      </c>
      <c r="B75" t="n">
        <v>1</v>
      </c>
      <c r="C75" t="n">
        <v>144</v>
      </c>
      <c r="D75" t="n">
        <v>145</v>
      </c>
      <c r="E75" t="n">
        <v>4</v>
      </c>
      <c r="F75" t="n">
        <v>301</v>
      </c>
      <c r="G75" t="n">
        <v>440</v>
      </c>
      <c r="H75" t="n">
        <v>0</v>
      </c>
      <c r="I75" t="n">
        <v>440</v>
      </c>
      <c r="J75" t="n">
        <v>85</v>
      </c>
      <c r="K75" t="n">
        <v>82</v>
      </c>
      <c r="L75" t="n">
        <v>822</v>
      </c>
      <c r="M75" t="n">
        <v>84</v>
      </c>
      <c r="N75" t="n">
        <v>19713</v>
      </c>
      <c r="O75" t="n">
        <v>20</v>
      </c>
      <c r="P75" t="n">
        <v>2</v>
      </c>
      <c r="Q75" t="n">
        <v>2</v>
      </c>
      <c r="R75" t="n">
        <v>64</v>
      </c>
      <c r="S75" t="n">
        <v>74</v>
      </c>
      <c r="T75" t="n">
        <v>11</v>
      </c>
      <c r="U75" t="n">
        <v>0</v>
      </c>
    </row>
    <row r="76">
      <c r="A76" t="n">
        <v>10</v>
      </c>
      <c r="B76" t="n">
        <v>1</v>
      </c>
      <c r="C76" t="n">
        <v>146</v>
      </c>
      <c r="D76" t="n">
        <v>150</v>
      </c>
      <c r="E76" t="n">
        <v>4</v>
      </c>
      <c r="F76" t="n">
        <v>301</v>
      </c>
      <c r="G76" t="n">
        <v>598</v>
      </c>
      <c r="H76" t="n">
        <v>0</v>
      </c>
      <c r="I76" t="n">
        <v>598</v>
      </c>
      <c r="J76" t="n">
        <v>119</v>
      </c>
      <c r="K76" t="n">
        <v>107</v>
      </c>
      <c r="L76" t="n">
        <v>834</v>
      </c>
      <c r="M76" t="n">
        <v>93</v>
      </c>
      <c r="N76" t="n">
        <v>19892</v>
      </c>
      <c r="O76" t="n">
        <v>20</v>
      </c>
      <c r="P76" t="n">
        <v>2</v>
      </c>
      <c r="Q76" t="n">
        <v>2</v>
      </c>
      <c r="R76" t="n">
        <v>65</v>
      </c>
      <c r="S76" t="n">
        <v>75</v>
      </c>
      <c r="T76" t="n">
        <v>11</v>
      </c>
      <c r="U76" t="n">
        <v>0</v>
      </c>
    </row>
    <row r="77">
      <c r="A77" t="n">
        <v>10</v>
      </c>
      <c r="B77" t="n">
        <v>2</v>
      </c>
      <c r="C77" t="n">
        <v>148</v>
      </c>
      <c r="D77" t="n">
        <v>150</v>
      </c>
      <c r="E77" t="n">
        <v>4</v>
      </c>
      <c r="F77" t="n">
        <v>301</v>
      </c>
      <c r="G77" t="n">
        <v>839</v>
      </c>
      <c r="H77" t="n">
        <v>0</v>
      </c>
      <c r="I77" t="n">
        <v>839</v>
      </c>
      <c r="J77" t="n">
        <v>173</v>
      </c>
      <c r="K77" t="n">
        <v>143</v>
      </c>
      <c r="L77" t="n">
        <v>846</v>
      </c>
      <c r="M77" t="n">
        <v>102</v>
      </c>
      <c r="N77" t="n">
        <v>20050</v>
      </c>
      <c r="O77" t="n">
        <v>20</v>
      </c>
      <c r="P77" t="n">
        <v>2</v>
      </c>
      <c r="Q77" t="n">
        <v>2</v>
      </c>
      <c r="R77" t="n">
        <v>65</v>
      </c>
      <c r="S77" t="n">
        <v>75</v>
      </c>
      <c r="T77" t="n">
        <v>11</v>
      </c>
      <c r="U77" t="n">
        <v>0</v>
      </c>
    </row>
    <row r="78">
      <c r="A78" t="n">
        <v>10</v>
      </c>
      <c r="B78" t="n">
        <v>2</v>
      </c>
      <c r="C78" t="n">
        <v>150</v>
      </c>
      <c r="D78" t="n">
        <v>155</v>
      </c>
      <c r="E78" t="n">
        <v>4</v>
      </c>
      <c r="F78" t="n">
        <v>301</v>
      </c>
      <c r="G78" t="n">
        <v>454</v>
      </c>
      <c r="H78" t="n">
        <v>0</v>
      </c>
      <c r="I78" t="n">
        <v>454</v>
      </c>
      <c r="J78" t="n">
        <v>85</v>
      </c>
      <c r="K78" t="n">
        <v>86</v>
      </c>
      <c r="L78" t="n">
        <v>858</v>
      </c>
      <c r="M78" t="n">
        <v>84</v>
      </c>
      <c r="N78" t="n">
        <v>21194</v>
      </c>
      <c r="O78" t="n">
        <v>20</v>
      </c>
      <c r="P78" t="n">
        <v>2</v>
      </c>
      <c r="Q78" t="n">
        <v>2</v>
      </c>
      <c r="R78" t="n">
        <v>66</v>
      </c>
      <c r="S78" t="n">
        <v>75</v>
      </c>
      <c r="T78" t="n">
        <v>12</v>
      </c>
      <c r="U78" t="n">
        <v>0</v>
      </c>
    </row>
    <row r="79">
      <c r="A79" t="n">
        <v>10</v>
      </c>
      <c r="B79" t="n">
        <v>3</v>
      </c>
      <c r="C79" t="n">
        <v>152</v>
      </c>
      <c r="D79" t="n">
        <v>155</v>
      </c>
      <c r="E79" t="n">
        <v>2</v>
      </c>
      <c r="F79" t="n">
        <v>301</v>
      </c>
      <c r="G79" t="n">
        <v>494</v>
      </c>
      <c r="H79" t="n">
        <v>0</v>
      </c>
      <c r="I79" t="n">
        <v>494</v>
      </c>
      <c r="J79" t="n">
        <v>95</v>
      </c>
      <c r="K79" t="n">
        <v>89</v>
      </c>
      <c r="L79" t="n">
        <v>870</v>
      </c>
      <c r="M79" t="n">
        <v>82</v>
      </c>
      <c r="N79" t="n">
        <v>21560</v>
      </c>
      <c r="O79" t="n">
        <v>20</v>
      </c>
      <c r="P79" t="n">
        <v>2</v>
      </c>
      <c r="Q79" t="n">
        <v>2</v>
      </c>
      <c r="R79" t="n">
        <v>66</v>
      </c>
      <c r="S79" t="n">
        <v>75</v>
      </c>
      <c r="T79" t="n">
        <v>12</v>
      </c>
      <c r="U79" t="n">
        <v>0</v>
      </c>
    </row>
    <row r="80">
      <c r="A80" t="n">
        <v>10</v>
      </c>
      <c r="B80" t="n">
        <v>3</v>
      </c>
      <c r="C80" t="n">
        <v>154</v>
      </c>
      <c r="D80" t="n">
        <v>155</v>
      </c>
      <c r="E80" t="n">
        <v>4</v>
      </c>
      <c r="F80" t="n">
        <v>301</v>
      </c>
      <c r="G80" t="n">
        <v>380</v>
      </c>
      <c r="H80" t="n">
        <v>0</v>
      </c>
      <c r="I80" t="n">
        <v>380</v>
      </c>
      <c r="J80" t="n">
        <v>134</v>
      </c>
      <c r="K80" t="n">
        <v>125</v>
      </c>
      <c r="L80" t="n">
        <v>882</v>
      </c>
      <c r="M80" t="n">
        <v>71</v>
      </c>
      <c r="N80" t="n">
        <v>21663</v>
      </c>
      <c r="O80" t="n">
        <v>21</v>
      </c>
      <c r="P80" t="n">
        <v>2</v>
      </c>
      <c r="Q80" t="n">
        <v>2</v>
      </c>
      <c r="R80" t="n">
        <v>67</v>
      </c>
      <c r="S80" t="n">
        <v>72</v>
      </c>
      <c r="T80" t="n">
        <v>12</v>
      </c>
      <c r="U80" t="n">
        <v>0</v>
      </c>
    </row>
    <row r="81">
      <c r="A81" t="n">
        <v>11</v>
      </c>
      <c r="B81" t="n">
        <v>0</v>
      </c>
      <c r="C81" t="n">
        <v>156</v>
      </c>
      <c r="D81" t="n">
        <v>160</v>
      </c>
      <c r="E81" t="n">
        <v>4</v>
      </c>
      <c r="F81" t="n">
        <v>301</v>
      </c>
      <c r="G81" t="n">
        <v>261</v>
      </c>
      <c r="H81" t="n">
        <v>0</v>
      </c>
      <c r="I81" t="n">
        <v>261</v>
      </c>
      <c r="J81" t="n">
        <v>168</v>
      </c>
      <c r="K81" t="n">
        <v>161</v>
      </c>
      <c r="L81" t="n">
        <v>894</v>
      </c>
      <c r="M81" t="n">
        <v>75</v>
      </c>
      <c r="N81" t="n">
        <v>21806</v>
      </c>
      <c r="O81" t="n">
        <v>21</v>
      </c>
      <c r="P81" t="n">
        <v>2</v>
      </c>
      <c r="Q81" t="n">
        <v>2</v>
      </c>
      <c r="R81" t="n">
        <v>68</v>
      </c>
      <c r="S81" t="n">
        <v>71</v>
      </c>
      <c r="T81" t="n">
        <v>12</v>
      </c>
      <c r="U81" t="n">
        <v>0</v>
      </c>
    </row>
    <row r="82">
      <c r="A82" t="n">
        <v>11</v>
      </c>
      <c r="B82" t="n">
        <v>0</v>
      </c>
      <c r="C82" t="n">
        <v>157</v>
      </c>
      <c r="D82" t="n">
        <v>160</v>
      </c>
      <c r="E82" t="n">
        <v>4</v>
      </c>
      <c r="F82" t="n">
        <v>301</v>
      </c>
      <c r="G82" t="n">
        <v>471</v>
      </c>
      <c r="H82" t="n">
        <v>0</v>
      </c>
      <c r="I82" t="n">
        <v>471</v>
      </c>
      <c r="J82" t="n">
        <v>81</v>
      </c>
      <c r="K82" t="n">
        <v>86</v>
      </c>
      <c r="L82" t="n">
        <v>906</v>
      </c>
      <c r="M82" t="n">
        <v>84</v>
      </c>
      <c r="N82" t="n">
        <v>22464</v>
      </c>
      <c r="O82" t="n">
        <v>21</v>
      </c>
      <c r="P82" t="n">
        <v>2</v>
      </c>
      <c r="Q82" t="n">
        <v>2</v>
      </c>
      <c r="R82" t="n">
        <v>68</v>
      </c>
      <c r="S82" t="n">
        <v>71</v>
      </c>
      <c r="T82" t="n">
        <v>12</v>
      </c>
      <c r="U82" t="n">
        <v>0</v>
      </c>
    </row>
    <row r="83">
      <c r="A83" t="n">
        <v>11</v>
      </c>
      <c r="B83" t="n">
        <v>1</v>
      </c>
      <c r="C83" t="n">
        <v>159</v>
      </c>
      <c r="D83" t="n">
        <v>165</v>
      </c>
      <c r="E83" t="n">
        <v>4</v>
      </c>
      <c r="F83" t="n">
        <v>301</v>
      </c>
      <c r="G83" t="n">
        <v>518</v>
      </c>
      <c r="H83" t="n">
        <v>0</v>
      </c>
      <c r="I83" t="n">
        <v>518</v>
      </c>
      <c r="J83" t="n">
        <v>82</v>
      </c>
      <c r="K83" t="n">
        <v>89</v>
      </c>
      <c r="L83" t="n">
        <v>918</v>
      </c>
      <c r="M83" t="n">
        <v>82</v>
      </c>
      <c r="N83" t="n">
        <v>22914</v>
      </c>
      <c r="O83" t="n">
        <v>21</v>
      </c>
      <c r="P83" t="n">
        <v>2</v>
      </c>
      <c r="Q83" t="n">
        <v>2</v>
      </c>
      <c r="R83" t="n">
        <v>69</v>
      </c>
      <c r="S83" t="n">
        <v>74</v>
      </c>
      <c r="T83" t="n">
        <v>12</v>
      </c>
      <c r="U83" t="n">
        <v>0</v>
      </c>
    </row>
    <row r="84">
      <c r="A84" t="n">
        <v>11</v>
      </c>
      <c r="B84" t="n">
        <v>1</v>
      </c>
      <c r="C84" t="n">
        <v>161</v>
      </c>
      <c r="D84" t="n">
        <v>165</v>
      </c>
      <c r="E84" t="n">
        <v>4</v>
      </c>
      <c r="F84" t="n">
        <v>301</v>
      </c>
      <c r="G84" t="n">
        <v>780</v>
      </c>
      <c r="H84" t="n">
        <v>0</v>
      </c>
      <c r="I84" t="n">
        <v>780</v>
      </c>
      <c r="J84" t="n">
        <v>121</v>
      </c>
      <c r="K84" t="n">
        <v>125</v>
      </c>
      <c r="L84" t="n">
        <v>930</v>
      </c>
      <c r="M84" t="n">
        <v>91</v>
      </c>
      <c r="N84" t="n">
        <v>23085</v>
      </c>
      <c r="O84" t="n">
        <v>22</v>
      </c>
      <c r="P84" t="n">
        <v>2</v>
      </c>
      <c r="Q84" t="n">
        <v>2</v>
      </c>
      <c r="R84" t="n">
        <v>70</v>
      </c>
      <c r="S84" t="n">
        <v>75</v>
      </c>
      <c r="T84" t="n">
        <v>12</v>
      </c>
      <c r="U84" t="n">
        <v>0</v>
      </c>
    </row>
    <row r="85">
      <c r="A85" t="n">
        <v>11</v>
      </c>
      <c r="B85" t="n">
        <v>2</v>
      </c>
      <c r="C85" t="n">
        <v>163</v>
      </c>
      <c r="D85" t="n">
        <v>165</v>
      </c>
      <c r="E85" t="n">
        <v>4</v>
      </c>
      <c r="F85" t="n">
        <v>301</v>
      </c>
      <c r="G85" t="n">
        <v>1044</v>
      </c>
      <c r="H85" t="n">
        <v>0</v>
      </c>
      <c r="I85" t="n">
        <v>1044</v>
      </c>
      <c r="J85" t="n">
        <v>175</v>
      </c>
      <c r="K85" t="n">
        <v>161</v>
      </c>
      <c r="L85" t="n">
        <v>942</v>
      </c>
      <c r="M85" t="n">
        <v>100</v>
      </c>
      <c r="N85" t="n">
        <v>23260</v>
      </c>
      <c r="O85" t="n">
        <v>22</v>
      </c>
      <c r="P85" t="n">
        <v>2</v>
      </c>
      <c r="Q85" t="n">
        <v>2</v>
      </c>
      <c r="R85" t="n">
        <v>70</v>
      </c>
      <c r="S85" t="n">
        <v>75</v>
      </c>
      <c r="T85" t="n">
        <v>13</v>
      </c>
      <c r="U85" t="n">
        <v>0</v>
      </c>
    </row>
    <row r="86">
      <c r="A86" t="n">
        <v>11</v>
      </c>
      <c r="B86" t="n">
        <v>2</v>
      </c>
      <c r="C86" t="n">
        <v>165</v>
      </c>
      <c r="D86" t="n">
        <v>170</v>
      </c>
      <c r="E86" t="n">
        <v>1</v>
      </c>
      <c r="F86" t="n">
        <v>301</v>
      </c>
      <c r="G86" t="n">
        <v>500</v>
      </c>
      <c r="H86" t="n">
        <v>0</v>
      </c>
      <c r="I86" t="n">
        <v>500</v>
      </c>
      <c r="J86" t="n">
        <v>81</v>
      </c>
      <c r="K86" t="n">
        <v>88</v>
      </c>
      <c r="L86" t="n">
        <v>954</v>
      </c>
      <c r="M86" t="n">
        <v>83</v>
      </c>
      <c r="N86" t="n">
        <v>24412</v>
      </c>
      <c r="O86" t="n">
        <v>22</v>
      </c>
      <c r="P86" t="n">
        <v>2</v>
      </c>
      <c r="Q86" t="n">
        <v>2</v>
      </c>
      <c r="R86" t="n">
        <v>71</v>
      </c>
      <c r="S86" t="n">
        <v>75</v>
      </c>
      <c r="T86" t="n">
        <v>13</v>
      </c>
      <c r="U86" t="n">
        <v>0</v>
      </c>
    </row>
    <row r="87">
      <c r="A87" t="n">
        <v>11</v>
      </c>
      <c r="B87" t="n">
        <v>3</v>
      </c>
      <c r="C87" t="n">
        <v>167</v>
      </c>
      <c r="D87" t="n">
        <v>170</v>
      </c>
      <c r="E87" t="n">
        <v>4</v>
      </c>
      <c r="F87" t="n">
        <v>301</v>
      </c>
      <c r="G87" t="n">
        <v>623</v>
      </c>
      <c r="H87" t="n">
        <v>0</v>
      </c>
      <c r="I87" t="n">
        <v>623</v>
      </c>
      <c r="J87" t="n">
        <v>113</v>
      </c>
      <c r="K87" t="n">
        <v>102</v>
      </c>
      <c r="L87" t="n">
        <v>966</v>
      </c>
      <c r="M87" t="n">
        <v>72</v>
      </c>
      <c r="N87" t="n">
        <v>24600</v>
      </c>
      <c r="O87" t="n">
        <v>22</v>
      </c>
      <c r="P87" t="n">
        <v>2</v>
      </c>
      <c r="Q87" t="n">
        <v>2</v>
      </c>
      <c r="R87" t="n">
        <v>71</v>
      </c>
      <c r="S87" t="n">
        <v>75</v>
      </c>
      <c r="T87" t="n">
        <v>13</v>
      </c>
      <c r="U87" t="n">
        <v>0</v>
      </c>
    </row>
    <row r="88">
      <c r="A88" t="n">
        <v>11</v>
      </c>
      <c r="B88" t="n">
        <v>3</v>
      </c>
      <c r="C88" t="n">
        <v>169</v>
      </c>
      <c r="D88" t="n">
        <v>175</v>
      </c>
      <c r="E88" t="n">
        <v>4</v>
      </c>
      <c r="F88" t="n">
        <v>301</v>
      </c>
      <c r="G88" t="n">
        <v>484</v>
      </c>
      <c r="H88" t="n">
        <v>0</v>
      </c>
      <c r="I88" t="n">
        <v>484</v>
      </c>
      <c r="J88" t="n">
        <v>132</v>
      </c>
      <c r="K88" t="n">
        <v>138</v>
      </c>
      <c r="L88" t="n">
        <v>978</v>
      </c>
      <c r="M88" t="n">
        <v>81</v>
      </c>
      <c r="N88" t="n">
        <v>24782</v>
      </c>
      <c r="O88" t="n">
        <v>23</v>
      </c>
      <c r="P88" t="n">
        <v>2</v>
      </c>
      <c r="Q88" t="n">
        <v>2</v>
      </c>
      <c r="R88" t="n">
        <v>73</v>
      </c>
      <c r="S88" t="n">
        <v>74</v>
      </c>
      <c r="T88" t="n">
        <v>13</v>
      </c>
      <c r="U88" t="n">
        <v>0</v>
      </c>
    </row>
    <row r="89">
      <c r="A89" t="n">
        <v>12</v>
      </c>
      <c r="B89" t="n">
        <v>0</v>
      </c>
      <c r="C89" t="n">
        <v>171</v>
      </c>
      <c r="D89" t="n">
        <v>175</v>
      </c>
      <c r="E89" t="n">
        <v>4</v>
      </c>
      <c r="F89" t="n">
        <v>301</v>
      </c>
      <c r="G89" t="n">
        <v>352</v>
      </c>
      <c r="H89" t="n">
        <v>0</v>
      </c>
      <c r="I89" t="n">
        <v>352</v>
      </c>
      <c r="J89" t="n">
        <v>88</v>
      </c>
      <c r="K89" t="n">
        <v>85</v>
      </c>
      <c r="L89" t="n">
        <v>990</v>
      </c>
      <c r="M89" t="n">
        <v>90</v>
      </c>
      <c r="N89" t="n">
        <v>25402</v>
      </c>
      <c r="O89" t="n">
        <v>23</v>
      </c>
      <c r="P89" t="n">
        <v>2</v>
      </c>
      <c r="Q89" t="n">
        <v>2</v>
      </c>
      <c r="R89" t="n">
        <v>73</v>
      </c>
      <c r="S89" t="n">
        <v>71</v>
      </c>
      <c r="T89" t="n">
        <v>13</v>
      </c>
      <c r="U89" t="n">
        <v>0</v>
      </c>
    </row>
    <row r="90">
      <c r="A90" t="n">
        <v>12</v>
      </c>
      <c r="B90" t="n">
        <v>0</v>
      </c>
      <c r="C90" t="n">
        <v>173</v>
      </c>
      <c r="D90" t="n">
        <v>175</v>
      </c>
      <c r="E90" t="n">
        <v>4</v>
      </c>
      <c r="F90" t="n">
        <v>301</v>
      </c>
      <c r="G90" t="n">
        <v>622</v>
      </c>
      <c r="H90" t="n">
        <v>0</v>
      </c>
      <c r="I90" t="n">
        <v>622</v>
      </c>
      <c r="J90" t="n">
        <v>109</v>
      </c>
      <c r="K90" t="n">
        <v>99</v>
      </c>
      <c r="L90" t="n">
        <v>1002</v>
      </c>
      <c r="M90" t="n">
        <v>88</v>
      </c>
      <c r="N90" t="n">
        <v>25726</v>
      </c>
      <c r="O90" t="n">
        <v>23</v>
      </c>
      <c r="P90" t="n">
        <v>2</v>
      </c>
      <c r="Q90" t="n">
        <v>2</v>
      </c>
      <c r="R90" t="n">
        <v>73</v>
      </c>
      <c r="S90" t="n">
        <v>72</v>
      </c>
      <c r="T90" t="n">
        <v>13</v>
      </c>
      <c r="U90" t="n">
        <v>0</v>
      </c>
    </row>
    <row r="91">
      <c r="A91" t="n">
        <v>12</v>
      </c>
      <c r="B91" t="n">
        <v>1</v>
      </c>
      <c r="C91" t="n">
        <v>175</v>
      </c>
      <c r="D91" t="n">
        <v>180</v>
      </c>
      <c r="E91" t="n">
        <v>4</v>
      </c>
      <c r="F91" t="n">
        <v>301</v>
      </c>
      <c r="G91" t="n">
        <v>888</v>
      </c>
      <c r="H91" t="n">
        <v>0</v>
      </c>
      <c r="I91" t="n">
        <v>888</v>
      </c>
      <c r="J91" t="n">
        <v>143</v>
      </c>
      <c r="K91" t="n">
        <v>135</v>
      </c>
      <c r="L91" t="n">
        <v>1014</v>
      </c>
      <c r="M91" t="n">
        <v>97</v>
      </c>
      <c r="N91" t="n">
        <v>25910</v>
      </c>
      <c r="O91" t="n">
        <v>23</v>
      </c>
      <c r="P91" t="n">
        <v>2</v>
      </c>
      <c r="Q91" t="n">
        <v>2</v>
      </c>
      <c r="R91" t="n">
        <v>74</v>
      </c>
      <c r="S91" t="n">
        <v>74</v>
      </c>
      <c r="T91" t="n">
        <v>13</v>
      </c>
      <c r="U91" t="n">
        <v>0</v>
      </c>
    </row>
    <row r="92">
      <c r="A92" t="n">
        <v>12</v>
      </c>
      <c r="B92" t="n">
        <v>1</v>
      </c>
      <c r="C92" t="n">
        <v>177</v>
      </c>
      <c r="D92" t="n">
        <v>180</v>
      </c>
      <c r="E92" t="n">
        <v>4</v>
      </c>
      <c r="F92" t="n">
        <v>301</v>
      </c>
      <c r="G92" t="n">
        <v>1179</v>
      </c>
      <c r="H92" t="n">
        <v>0</v>
      </c>
      <c r="I92" t="n">
        <v>1179</v>
      </c>
      <c r="J92" t="n">
        <v>182</v>
      </c>
      <c r="K92" t="n">
        <v>171</v>
      </c>
      <c r="L92" t="n">
        <v>1026</v>
      </c>
      <c r="M92" t="n">
        <v>106</v>
      </c>
      <c r="N92" t="n">
        <v>26099</v>
      </c>
      <c r="O92" t="n">
        <v>24</v>
      </c>
      <c r="P92" t="n">
        <v>2</v>
      </c>
      <c r="Q92" t="n">
        <v>2</v>
      </c>
      <c r="R92" t="n">
        <v>75</v>
      </c>
      <c r="S92" t="n">
        <v>75</v>
      </c>
      <c r="T92" t="n">
        <v>14</v>
      </c>
      <c r="U92" t="n">
        <v>0</v>
      </c>
    </row>
    <row r="93">
      <c r="A93" t="n">
        <v>12</v>
      </c>
      <c r="B93" t="n">
        <v>2</v>
      </c>
      <c r="C93" t="n">
        <v>179</v>
      </c>
      <c r="D93" t="n">
        <v>180</v>
      </c>
      <c r="E93" t="n">
        <v>3</v>
      </c>
      <c r="F93" t="n">
        <v>301</v>
      </c>
      <c r="G93" t="n">
        <v>547</v>
      </c>
      <c r="H93" t="n">
        <v>0</v>
      </c>
      <c r="I93" t="n">
        <v>547</v>
      </c>
      <c r="J93" t="n">
        <v>88</v>
      </c>
      <c r="K93" t="n">
        <v>86</v>
      </c>
      <c r="L93" t="n">
        <v>1038</v>
      </c>
      <c r="M93" t="n">
        <v>67</v>
      </c>
      <c r="N93" t="n">
        <v>27288</v>
      </c>
      <c r="O93" t="n">
        <v>24</v>
      </c>
      <c r="P93" t="n">
        <v>2</v>
      </c>
      <c r="Q93" t="n">
        <v>2</v>
      </c>
      <c r="R93" t="n">
        <v>75</v>
      </c>
      <c r="S93" t="n">
        <v>75</v>
      </c>
      <c r="T93" t="n">
        <v>14</v>
      </c>
      <c r="U93" t="n">
        <v>0</v>
      </c>
    </row>
    <row r="94">
      <c r="A94" t="n">
        <v>12</v>
      </c>
      <c r="B94" t="n">
        <v>2</v>
      </c>
      <c r="C94" t="n">
        <v>181</v>
      </c>
      <c r="D94" t="n">
        <v>185</v>
      </c>
      <c r="E94" t="n">
        <v>4</v>
      </c>
      <c r="F94" t="n">
        <v>301</v>
      </c>
      <c r="G94" t="n">
        <v>676</v>
      </c>
      <c r="H94" t="n">
        <v>0</v>
      </c>
      <c r="I94" t="n">
        <v>676</v>
      </c>
      <c r="J94" t="n">
        <v>111</v>
      </c>
      <c r="K94" t="n">
        <v>100</v>
      </c>
      <c r="L94" t="n">
        <v>1050</v>
      </c>
      <c r="M94" t="n">
        <v>66</v>
      </c>
      <c r="N94" t="n">
        <v>27501</v>
      </c>
      <c r="O94" t="n">
        <v>24</v>
      </c>
      <c r="P94" t="n">
        <v>2</v>
      </c>
      <c r="Q94" t="n">
        <v>2</v>
      </c>
      <c r="R94" t="n">
        <v>76</v>
      </c>
      <c r="S94" t="n">
        <v>75</v>
      </c>
      <c r="T94" t="n">
        <v>14</v>
      </c>
      <c r="U94" t="n">
        <v>0</v>
      </c>
    </row>
    <row r="95">
      <c r="A95" t="n">
        <v>12</v>
      </c>
      <c r="B95" t="n">
        <v>3</v>
      </c>
      <c r="C95" t="n">
        <v>183</v>
      </c>
      <c r="D95" t="n">
        <v>185</v>
      </c>
      <c r="E95" t="n">
        <v>4</v>
      </c>
      <c r="F95" t="n">
        <v>301</v>
      </c>
      <c r="G95" t="n">
        <v>946</v>
      </c>
      <c r="H95" t="n">
        <v>0</v>
      </c>
      <c r="I95" t="n">
        <v>946</v>
      </c>
      <c r="J95" t="n">
        <v>165</v>
      </c>
      <c r="K95" t="n">
        <v>136</v>
      </c>
      <c r="L95" t="n">
        <v>1062</v>
      </c>
      <c r="M95" t="n">
        <v>75</v>
      </c>
      <c r="N95" t="n">
        <v>27697</v>
      </c>
      <c r="O95" t="n">
        <v>24</v>
      </c>
      <c r="P95" t="n">
        <v>2</v>
      </c>
      <c r="Q95" t="n">
        <v>2</v>
      </c>
      <c r="R95" t="n">
        <v>76</v>
      </c>
      <c r="S95" t="n">
        <v>75</v>
      </c>
      <c r="T95" t="n">
        <v>14</v>
      </c>
      <c r="U95" t="n">
        <v>0</v>
      </c>
    </row>
    <row r="96">
      <c r="A96" t="n">
        <v>12</v>
      </c>
      <c r="B96" t="n">
        <v>3</v>
      </c>
      <c r="C96" t="n">
        <v>184</v>
      </c>
      <c r="D96" t="n">
        <v>190</v>
      </c>
      <c r="E96" t="n">
        <v>4</v>
      </c>
      <c r="F96" t="n">
        <v>301</v>
      </c>
      <c r="G96" t="n">
        <v>510</v>
      </c>
      <c r="H96" t="n">
        <v>0</v>
      </c>
      <c r="I96" t="n">
        <v>510</v>
      </c>
      <c r="J96" t="n">
        <v>88</v>
      </c>
      <c r="K96" t="n">
        <v>82</v>
      </c>
      <c r="L96" t="n">
        <v>1074</v>
      </c>
      <c r="M96" t="n">
        <v>84</v>
      </c>
      <c r="N96" t="n">
        <v>28702</v>
      </c>
      <c r="O96" t="n">
        <v>25</v>
      </c>
      <c r="P96" t="n">
        <v>2</v>
      </c>
      <c r="Q96" t="n">
        <v>2</v>
      </c>
      <c r="R96" t="n">
        <v>78</v>
      </c>
      <c r="S96" t="n">
        <v>74</v>
      </c>
      <c r="T96" t="n">
        <v>14</v>
      </c>
      <c r="U96" t="n">
        <v>0</v>
      </c>
    </row>
    <row r="97">
      <c r="A97" t="n">
        <v>13</v>
      </c>
      <c r="B97" t="n">
        <v>0</v>
      </c>
      <c r="C97" t="n">
        <v>186</v>
      </c>
      <c r="D97" t="n">
        <v>190</v>
      </c>
      <c r="E97" t="n">
        <v>3</v>
      </c>
      <c r="F97" t="n">
        <v>301</v>
      </c>
      <c r="G97" t="n">
        <v>366</v>
      </c>
      <c r="H97" t="n">
        <v>0</v>
      </c>
      <c r="I97" t="n">
        <v>366</v>
      </c>
      <c r="J97" t="n">
        <v>87</v>
      </c>
      <c r="K97" t="n">
        <v>85</v>
      </c>
      <c r="L97" t="n">
        <v>1086</v>
      </c>
      <c r="M97" t="n">
        <v>82</v>
      </c>
      <c r="N97" t="n">
        <v>29102</v>
      </c>
      <c r="O97" t="n">
        <v>25</v>
      </c>
      <c r="P97" t="n">
        <v>2</v>
      </c>
      <c r="Q97" t="n">
        <v>2</v>
      </c>
      <c r="R97" t="n">
        <v>78</v>
      </c>
      <c r="S97" t="n">
        <v>71</v>
      </c>
      <c r="T97" t="n">
        <v>15</v>
      </c>
      <c r="U9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Sink sandbox — test balance changes before coding them</t>
        </is>
      </c>
    </row>
    <row r="2">
      <c r="A2" s="7" t="inlineStr">
        <is>
          <t>Uses the SteadyState snapshot. Blue dials; effects on yearly flows below.</t>
        </is>
      </c>
    </row>
    <row r="4">
      <c r="A4" s="3" t="inlineStr">
        <is>
          <t>Dials</t>
        </is>
      </c>
      <c r="C4" s="7" t="inlineStr"/>
    </row>
    <row r="5">
      <c r="A5" s="2" t="inlineStr">
        <is>
          <t>Soldier eat multiplier (now 2x pop)</t>
        </is>
      </c>
      <c r="B5" s="5" t="n">
        <v>3</v>
      </c>
      <c r="C5" s="7" t="inlineStr">
        <is>
          <t>your idea: armies as mouths</t>
        </is>
      </c>
    </row>
    <row r="6">
      <c r="A6" s="2" t="inlineStr">
        <is>
          <t>Building upkeep, wood/t per building</t>
        </is>
      </c>
      <c r="B6" s="5" t="n">
        <v>0.004</v>
      </c>
      <c r="C6" s="7" t="inlineStr">
        <is>
          <t>decay+repair drain</t>
        </is>
      </c>
    </row>
    <row r="7">
      <c r="A7" s="2" t="inlineStr">
        <is>
          <t>Building upkeep, stone/t per building</t>
        </is>
      </c>
      <c r="B7" s="5" t="n">
        <v>0.002</v>
      </c>
      <c r="C7" s="7" t="inlineStr"/>
    </row>
    <row r="8">
      <c r="A8" s="2" t="inlineStr">
        <is>
          <t>Total buildings (from sim yr-12)</t>
        </is>
      </c>
      <c r="B8" s="5" t="n">
        <v>78</v>
      </c>
      <c r="C8" s="7" t="inlineStr"/>
    </row>
    <row r="9">
      <c r="A9" s="2" t="inlineStr">
        <is>
          <t>Merchant buy cap, units per visit</t>
        </is>
      </c>
      <c r="B9" s="5" t="n">
        <v>40</v>
      </c>
      <c r="C9" s="7" t="inlineStr">
        <is>
          <t>can't liquidate infinite surplus</t>
        </is>
      </c>
    </row>
    <row r="10">
      <c r="A10" s="2" t="inlineStr">
        <is>
          <t>Merchant visits per year</t>
        </is>
      </c>
      <c r="B10" s="5" t="n">
        <v>2.5</v>
      </c>
      <c r="C10" s="7" t="inlineStr">
        <is>
          <t>~213 ticks per cycle</t>
        </is>
      </c>
    </row>
    <row r="11">
      <c r="A11" s="2" t="inlineStr">
        <is>
          <t>Bakery: food in /t</t>
        </is>
      </c>
      <c r="B11" s="5" t="n">
        <v>0.5</v>
      </c>
      <c r="C11" s="7" t="inlineStr">
        <is>
          <t>proposed rework</t>
        </is>
      </c>
    </row>
    <row r="12">
      <c r="A12" s="2" t="inlineStr">
        <is>
          <t>Bakery: bread out /t</t>
        </is>
      </c>
      <c r="B12" s="5" t="n">
        <v>0.4</v>
      </c>
      <c r="C12" s="7" t="inlineStr">
        <is>
          <t>0.8 eq out = net +0.3 before workers</t>
        </is>
      </c>
    </row>
    <row r="13">
      <c r="A13" s="2" t="inlineStr">
        <is>
          <t>Soldiers recruited from population?</t>
        </is>
      </c>
      <c r="B13" s="5" t="inlineStr">
        <is>
          <t>yes</t>
        </is>
      </c>
      <c r="C13" s="7" t="inlineStr">
        <is>
          <t>1 soldier = 1 fewer worker (design note)</t>
        </is>
      </c>
    </row>
    <row r="16">
      <c r="A16" s="4" t="inlineStr">
        <is>
          <t>Yearly flows: before -&gt; after</t>
        </is>
      </c>
      <c r="B16" s="4" t="inlineStr">
        <is>
          <t>Before</t>
        </is>
      </c>
      <c r="C16" s="4" t="inlineStr">
        <is>
          <t>After</t>
        </is>
      </c>
    </row>
    <row r="17">
      <c r="A17" s="2" t="inlineStr">
        <is>
          <t>Food-eq net / yr</t>
        </is>
      </c>
      <c r="B17" s="9">
        <f>SteadyState!F7</f>
        <v/>
      </c>
      <c r="C17" s="9">
        <f>(SteadyState!E5 + SteadyState!B21*((B12*2-B11)-2*SteadyState!B5) - SteadyState!B21*0.02 - SteadyState!B13*SteadyState!B5 - SteadyState!B14*SteadyState!B5*B5)*SteadyState!B7</f>
        <v/>
      </c>
    </row>
    <row r="18">
      <c r="A18" s="2" t="inlineStr">
        <is>
          <t>Wood net / yr</t>
        </is>
      </c>
      <c r="B18" s="9">
        <f>SteadyState!F8</f>
        <v/>
      </c>
      <c r="C18" s="9">
        <f>(SteadyState!E8-B6*B8)*SteadyState!B7</f>
        <v/>
      </c>
    </row>
    <row r="19">
      <c r="A19" s="2" t="inlineStr">
        <is>
          <t>Stone net / yr</t>
        </is>
      </c>
      <c r="B19" s="9">
        <f>SteadyState!F9</f>
        <v/>
      </c>
      <c r="C19" s="9">
        <f>(SteadyState!E9-B7*B8)*SteadyState!B7</f>
        <v/>
      </c>
    </row>
    <row r="20">
      <c r="A20" s="2" t="inlineStr">
        <is>
          <t>Trade gold / yr (capped)</t>
        </is>
      </c>
      <c r="B20" s="9">
        <f>SteadyState!F13</f>
        <v/>
      </c>
      <c r="C20" s="9">
        <f>MIN(SteadyState!F13, B9*B10*2.5*SteadyState!B10)</f>
        <v/>
      </c>
    </row>
    <row r="21">
      <c r="A21" s="2" t="inlineStr">
        <is>
          <t>Gold net / yr</t>
        </is>
      </c>
      <c r="B21" s="9">
        <f>SteadyState!F14</f>
        <v/>
      </c>
      <c r="C21" s="9">
        <f>SteadyState!F12+C20</f>
        <v/>
      </c>
    </row>
    <row r="23">
      <c r="A23" s="7" t="inlineStr">
        <is>
          <t>Goal: 'After' gold/yr should stay in the low hundreds — enough to want, not enough to drown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2026-07-09T02:26:15Z</dcterms:created>
  <dcterms:modified xsi:type="dcterms:W3CDTF">2026-07-09T02:26:15Z</dcterms:modified>
</cp:coreProperties>
</file>